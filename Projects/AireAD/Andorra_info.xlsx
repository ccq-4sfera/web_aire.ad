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4sfera_local\Projectes\Andorra\"/>
    </mc:Choice>
  </mc:AlternateContent>
  <xr:revisionPtr revIDLastSave="0" documentId="13_ncr:1_{34AD05E5-853F-4CF6-A56D-D7EFD77D5CB2}" xr6:coauthVersionLast="47" xr6:coauthVersionMax="47" xr10:uidLastSave="{00000000-0000-0000-0000-000000000000}"/>
  <bookViews>
    <workbookView xWindow="-108" yWindow="-108" windowWidth="19416" windowHeight="10416" tabRatio="801" firstSheet="5" activeTab="5" xr2:uid="{00000000-000D-0000-FFFF-FFFF00000000}"/>
  </bookViews>
  <sheets>
    <sheet name="Andorra" sheetId="1" r:id="rId1"/>
    <sheet name="web_RavenMapping" sheetId="2" r:id="rId2"/>
    <sheet name="web_stations" sheetId="3" r:id="rId3"/>
    <sheet name="web_index_colors" sheetId="4" r:id="rId4"/>
    <sheet name="web_RavenMapping_lang" sheetId="11" r:id="rId5"/>
    <sheet name="web_inversion" sheetId="14" r:id="rId6"/>
    <sheet name="web_episodes" sheetId="15" r:id="rId7"/>
    <sheet name="web_stations_lang" sheetId="12" r:id="rId8"/>
    <sheet name="web_index_colors_lang" sheetId="13" r:id="rId9"/>
    <sheet name="pollutants_stations" sheetId="16" r:id="rId10"/>
    <sheet name="web_colors" sheetId="17" r:id="rId11"/>
    <sheet name="web_colors (2)" sheetId="18" r:id="rId12"/>
    <sheet name="web_pollen" sheetId="19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" i="1" l="1"/>
  <c r="H6" i="1"/>
  <c r="H7" i="1"/>
  <c r="H10" i="1"/>
  <c r="H11" i="1"/>
  <c r="H14" i="1"/>
  <c r="H15" i="1"/>
  <c r="H18" i="1"/>
  <c r="H19" i="1"/>
  <c r="H22" i="1"/>
  <c r="H23" i="1"/>
  <c r="H26" i="1"/>
  <c r="H27" i="1"/>
  <c r="H30" i="1"/>
  <c r="H31" i="1"/>
  <c r="H34" i="1"/>
  <c r="H35" i="1"/>
  <c r="H38" i="1"/>
  <c r="H39" i="1"/>
  <c r="H42" i="1"/>
  <c r="H43" i="1"/>
  <c r="F4" i="1"/>
  <c r="H4" i="1" s="1"/>
  <c r="F5" i="1"/>
  <c r="H5" i="1" s="1"/>
  <c r="F6" i="1"/>
  <c r="F7" i="1"/>
  <c r="F8" i="1"/>
  <c r="H8" i="1" s="1"/>
  <c r="F9" i="1"/>
  <c r="H9" i="1" s="1"/>
  <c r="F10" i="1"/>
  <c r="F11" i="1"/>
  <c r="F12" i="1"/>
  <c r="H12" i="1" s="1"/>
  <c r="F13" i="1"/>
  <c r="H13" i="1" s="1"/>
  <c r="F14" i="1"/>
  <c r="F15" i="1"/>
  <c r="F16" i="1"/>
  <c r="H16" i="1" s="1"/>
  <c r="F17" i="1"/>
  <c r="H17" i="1" s="1"/>
  <c r="F18" i="1"/>
  <c r="F19" i="1"/>
  <c r="F20" i="1"/>
  <c r="H20" i="1" s="1"/>
  <c r="F21" i="1"/>
  <c r="H21" i="1" s="1"/>
  <c r="F22" i="1"/>
  <c r="F23" i="1"/>
  <c r="F24" i="1"/>
  <c r="H24" i="1" s="1"/>
  <c r="F25" i="1"/>
  <c r="H25" i="1" s="1"/>
  <c r="F26" i="1"/>
  <c r="F27" i="1"/>
  <c r="F28" i="1"/>
  <c r="H28" i="1" s="1"/>
  <c r="F29" i="1"/>
  <c r="H29" i="1" s="1"/>
  <c r="F30" i="1"/>
  <c r="F31" i="1"/>
  <c r="F32" i="1"/>
  <c r="H32" i="1" s="1"/>
  <c r="F33" i="1"/>
  <c r="H33" i="1" s="1"/>
  <c r="F34" i="1"/>
  <c r="F35" i="1"/>
  <c r="F36" i="1"/>
  <c r="H36" i="1" s="1"/>
  <c r="F37" i="1"/>
  <c r="H37" i="1" s="1"/>
  <c r="F38" i="1"/>
  <c r="F39" i="1"/>
  <c r="F40" i="1"/>
  <c r="H40" i="1" s="1"/>
  <c r="F41" i="1"/>
  <c r="H41" i="1" s="1"/>
  <c r="F42" i="1"/>
  <c r="F43" i="1"/>
  <c r="F44" i="1"/>
  <c r="H44" i="1" s="1"/>
  <c r="F3" i="1"/>
  <c r="H3" i="1" s="1"/>
</calcChain>
</file>

<file path=xl/sharedStrings.xml><?xml version="1.0" encoding="utf-8"?>
<sst xmlns="http://schemas.openxmlformats.org/spreadsheetml/2006/main" count="1046" uniqueCount="431">
  <si>
    <t>Horaire</t>
  </si>
  <si>
    <t>APOR ValidÈ sinon Brut</t>
  </si>
  <si>
    <t>Organisme</t>
  </si>
  <si>
    <t>Station</t>
  </si>
  <si>
    <t>Mesure</t>
  </si>
  <si>
    <t>Constituant</t>
  </si>
  <si>
    <t>UnitÈ</t>
  </si>
  <si>
    <t>microg/m3</t>
  </si>
  <si>
    <t>mg/m3</t>
  </si>
  <si>
    <t>degre</t>
  </si>
  <si>
    <t>m/s</t>
  </si>
  <si>
    <t>degreC</t>
  </si>
  <si>
    <t>%</t>
  </si>
  <si>
    <t>hPa</t>
  </si>
  <si>
    <t>W/m2</t>
  </si>
  <si>
    <t>mm</t>
  </si>
  <si>
    <t>Pa</t>
  </si>
  <si>
    <t>CO</t>
  </si>
  <si>
    <t>wd</t>
  </si>
  <si>
    <t>T</t>
  </si>
  <si>
    <t>RH</t>
  </si>
  <si>
    <t>O3</t>
  </si>
  <si>
    <t>ws</t>
  </si>
  <si>
    <t>Pressure</t>
  </si>
  <si>
    <t>UV</t>
  </si>
  <si>
    <t>Rain</t>
  </si>
  <si>
    <t>SO2</t>
  </si>
  <si>
    <t>NO</t>
  </si>
  <si>
    <t>NO2</t>
  </si>
  <si>
    <t>NOx</t>
  </si>
  <si>
    <t>PM10</t>
  </si>
  <si>
    <t>corregit</t>
  </si>
  <si>
    <t>PM2.5</t>
  </si>
  <si>
    <t>sense corregir</t>
  </si>
  <si>
    <t xml:space="preserve">sense corregir </t>
  </si>
  <si>
    <t>IGNORAR</t>
  </si>
  <si>
    <t>RHinterior</t>
  </si>
  <si>
    <t>Z31</t>
  </si>
  <si>
    <t>Tinterior</t>
  </si>
  <si>
    <t>NO TENIM!</t>
  </si>
  <si>
    <t>0001</t>
  </si>
  <si>
    <t>0038</t>
  </si>
  <si>
    <t>0008</t>
  </si>
  <si>
    <t>0009</t>
  </si>
  <si>
    <t>0010</t>
  </si>
  <si>
    <t>0007</t>
  </si>
  <si>
    <t>9051</t>
  </si>
  <si>
    <t>9052</t>
  </si>
  <si>
    <t>9054</t>
  </si>
  <si>
    <t>9058</t>
  </si>
  <si>
    <t>9053</t>
  </si>
  <si>
    <t>9072</t>
  </si>
  <si>
    <t>9060</t>
  </si>
  <si>
    <t>0005</t>
  </si>
  <si>
    <t>6001</t>
  </si>
  <si>
    <t>http://dd.eionet.europa.eu/vocabulary/uom/concentration/ug.m-3</t>
  </si>
  <si>
    <t>eea_unit</t>
  </si>
  <si>
    <t>http://dd.eionet.europa.eu/vocabulary/uom/concentration/mg.m-3</t>
  </si>
  <si>
    <t>http://dd.eionet.europa.eu/vocabulary/uom/velocity/m.s-1</t>
  </si>
  <si>
    <t>eea_pollutant</t>
  </si>
  <si>
    <t>http://dd.eionet.europa.eu/vocabulary/aq/meteoparameter/51</t>
  </si>
  <si>
    <t>http://dd.eionet.europa.eu/vocabulary/aq/meteoparameter/52</t>
  </si>
  <si>
    <t>http://dd.eionet.europa.eu/vocabulary/aq/meteoparameter/58</t>
  </si>
  <si>
    <t>http://dd.eionet.europa.eu/vocabulary/aq/meteoparameter/53</t>
  </si>
  <si>
    <t>http://dd.eionet.europa.eu/vocabulary/aq/meteoparameter/72</t>
  </si>
  <si>
    <t>http://dd.eionet.europa.eu/vocabulary/aq/meteoparameter/60</t>
  </si>
  <si>
    <t>http://dd.eionet.europa.eu/vocabulary/aq/meteoparameter/54</t>
  </si>
  <si>
    <t xml:space="preserve">	http://dd.eionet.europa.eu/vocabulary/aq/pollutant/1</t>
  </si>
  <si>
    <t xml:space="preserve">	http://dd.eionet.europa.eu/vocabulary/aq/pollutant/38</t>
  </si>
  <si>
    <t xml:space="preserve">	http://dd.eionet.europa.eu/vocabulary/aq/pollutant/8</t>
  </si>
  <si>
    <t xml:space="preserve">	http://dd.eionet.europa.eu/vocabulary/aq/pollutant/9</t>
  </si>
  <si>
    <t xml:space="preserve">	http://dd.eionet.europa.eu/vocabulary/aq/pollutant/10</t>
  </si>
  <si>
    <t xml:space="preserve">	http://dd.eionet.europa.eu/vocabulary/aq/pollutant/7</t>
  </si>
  <si>
    <t xml:space="preserve">	http://dd.eionet.europa.eu/vocabulary/aq/pollutant/5</t>
  </si>
  <si>
    <t xml:space="preserve">	http://dd.eionet.europa.eu/vocabulary/aq/pollutant/6001</t>
  </si>
  <si>
    <t>unite</t>
  </si>
  <si>
    <t>NOX</t>
  </si>
  <si>
    <t>web_pollutant</t>
  </si>
  <si>
    <t>notation</t>
  </si>
  <si>
    <t>Direcció vent</t>
  </si>
  <si>
    <t>Velocitat del vent</t>
  </si>
  <si>
    <t>Temperatura ambient</t>
  </si>
  <si>
    <t>Humitat relativa</t>
  </si>
  <si>
    <t>Presió atmosfèrica</t>
  </si>
  <si>
    <t>Precipitació</t>
  </si>
  <si>
    <t>Ozó</t>
  </si>
  <si>
    <t>Monòxid de carboni</t>
  </si>
  <si>
    <t>Monòxid de nitrogen</t>
  </si>
  <si>
    <t>Diòxid de nitrogen</t>
  </si>
  <si>
    <t>Diòxid de sofre</t>
  </si>
  <si>
    <t>Partícules PM10</t>
  </si>
  <si>
    <t>Partícules PM2.5</t>
  </si>
  <si>
    <t>Òxids de nitrogen</t>
  </si>
  <si>
    <t>Mòbil 1 </t>
  </si>
  <si>
    <t>Fons Urbà </t>
  </si>
  <si>
    <t>Andorra la Vella </t>
  </si>
  <si>
    <t>Aparcament de Les Escoles </t>
  </si>
  <si>
    <t>983 </t>
  </si>
  <si>
    <t>FALSE</t>
  </si>
  <si>
    <t>Campanya de mesurament de fons urbà</t>
  </si>
  <si>
    <t>Mòbil 3 </t>
  </si>
  <si>
    <t>Trànsit </t>
  </si>
  <si>
    <t>Camí Prada Casadet </t>
  </si>
  <si>
    <t>1002 </t>
  </si>
  <si>
    <t>Campanya de mesurament de NOx en proximitat al trànsit</t>
  </si>
  <si>
    <t>Fixa </t>
  </si>
  <si>
    <t>Escaldes-Engordany </t>
  </si>
  <si>
    <t>Aparcament Prat Gran </t>
  </si>
  <si>
    <t>1080 </t>
  </si>
  <si>
    <t>TRUE</t>
  </si>
  <si>
    <t>Fixa ozó </t>
  </si>
  <si>
    <t>Rural </t>
  </si>
  <si>
    <t>Engolasters </t>
  </si>
  <si>
    <t>1637 </t>
  </si>
  <si>
    <t>Mòbil 2 </t>
  </si>
  <si>
    <t>Suburbà </t>
  </si>
  <si>
    <t>Canillo </t>
  </si>
  <si>
    <t>Camí Pont d'Incles </t>
  </si>
  <si>
    <t>1757 </t>
  </si>
  <si>
    <t>Campanya de mesurament d'òxids de nitrogen en proximitat a la Central de Cogeneració</t>
  </si>
  <si>
    <t>codi</t>
  </si>
  <si>
    <t>web_type</t>
  </si>
  <si>
    <t>web_parroquia</t>
  </si>
  <si>
    <t>web_ubicacio</t>
  </si>
  <si>
    <t>web_lat</t>
  </si>
  <si>
    <t>web_long</t>
  </si>
  <si>
    <t>web_altitude</t>
  </si>
  <si>
    <t>web_global</t>
  </si>
  <si>
    <t>web_comentaris</t>
  </si>
  <si>
    <t>station_id</t>
  </si>
  <si>
    <t>STA-AD0940A</t>
  </si>
  <si>
    <t>STA-AD0943A</t>
  </si>
  <si>
    <t>STA-AD0942A</t>
  </si>
  <si>
    <t>STA-AD0944A</t>
  </si>
  <si>
    <t>STA-AD0941A</t>
  </si>
  <si>
    <t>STA-AD0945A</t>
  </si>
  <si>
    <t>nom_antic</t>
  </si>
  <si>
    <t>Escaldes-Engordany</t>
  </si>
  <si>
    <t>Engolasters</t>
  </si>
  <si>
    <t>Mòbil</t>
  </si>
  <si>
    <t>Camí Prada Casadet</t>
  </si>
  <si>
    <t>Estacional ozó</t>
  </si>
  <si>
    <t>Encamp</t>
  </si>
  <si>
    <t>SO&lt;sub&gt;2&lt;/sub&gt;</t>
  </si>
  <si>
    <t>NO &lt;sub&gt;2&lt;/sub&gt;</t>
  </si>
  <si>
    <t>NO&lt;sub&gt;x&lt;/sub&gt;</t>
  </si>
  <si>
    <t>O&lt;sub&gt;3&lt;/sub&gt;</t>
  </si>
  <si>
    <t>PM&lt;sub&gt;10&lt;/sub&gt;</t>
  </si>
  <si>
    <t>PM&lt;sub&gt;2.5&lt;/sub&gt;</t>
  </si>
  <si>
    <t>pollutant_name</t>
  </si>
  <si>
    <t>web_period</t>
  </si>
  <si>
    <t>Mitjana hor&amp;agrave;ria</t>
  </si>
  <si>
    <t>Mitjana 8-hor&amp;agrave;ria</t>
  </si>
  <si>
    <t>Mitjana 24-hor&amp;agrave;ria</t>
  </si>
  <si>
    <t>web_units</t>
  </si>
  <si>
    <t>&amp;micro;g/m&lt;sup&gt;3&lt;/sup&gt;</t>
  </si>
  <si>
    <t>mg/m&lt;sup&gt;3&lt;/sup&gt;</t>
  </si>
  <si>
    <t>type</t>
  </si>
  <si>
    <t>ubicacio</t>
  </si>
  <si>
    <t>comentaris</t>
  </si>
  <si>
    <t>M&amp;ograve;bil</t>
  </si>
  <si>
    <t>Cam&amp;iacute; Prada Casadet</t>
  </si>
  <si>
    <t>M&amp;ograve;bil 2</t>
  </si>
  <si>
    <t>Fons Urb&amp;agrave;</t>
  </si>
  <si>
    <t>Suburb&amp;agrave;</t>
  </si>
  <si>
    <t>Tr&amp;agrave;nsit</t>
  </si>
  <si>
    <t>Cam&amp;iacute; Pont d'Incles</t>
  </si>
  <si>
    <t>Campanya de mesurament de fons urb&amp;agrave;</t>
  </si>
  <si>
    <t>Campanya de mesurament de NOx en proximitat al tr&amp;agrave;nsit</t>
  </si>
  <si>
    <t>Campanya de mesurament d'&amp;ograve;xids de nitrogen en proximitat a la Central de Cogeneraci&amp;oacute;</t>
  </si>
  <si>
    <t>name</t>
  </si>
  <si>
    <t>web_name</t>
  </si>
  <si>
    <t>label</t>
  </si>
  <si>
    <t>Wind direction</t>
  </si>
  <si>
    <t>Wind speed</t>
  </si>
  <si>
    <t>Temperature</t>
  </si>
  <si>
    <t>Relative humidity</t>
  </si>
  <si>
    <t>Solar radiation</t>
  </si>
  <si>
    <t>Precipitation</t>
  </si>
  <si>
    <t>HR</t>
  </si>
  <si>
    <t>P</t>
  </si>
  <si>
    <t>DV</t>
  </si>
  <si>
    <t>VV</t>
  </si>
  <si>
    <t>PPT</t>
  </si>
  <si>
    <t>&amp;deg;</t>
  </si>
  <si>
    <t>&amp;deg;C</t>
  </si>
  <si>
    <t>W/m&lt;sup&gt;2&lt;/sup&gt;</t>
  </si>
  <si>
    <t>Radiació solar UV</t>
  </si>
  <si>
    <t>Acumulaci&amp;oacute; di&amp;agrave;ria</t>
  </si>
  <si>
    <t>index</t>
  </si>
  <si>
    <t>web_band</t>
  </si>
  <si>
    <t>web_color</t>
  </si>
  <si>
    <t>band</t>
  </si>
  <si>
    <t>Excel·lent</t>
  </si>
  <si>
    <t>Bona</t>
  </si>
  <si>
    <t>Regular</t>
  </si>
  <si>
    <t>Deficient</t>
  </si>
  <si>
    <t>Dolenta</t>
  </si>
  <si>
    <t>Excel&amp;middot;lent</t>
  </si>
  <si>
    <t>Sud r&amp;agrave;dio</t>
  </si>
  <si>
    <t>Edifici Sud R&amp;agrave;dio - Envalira</t>
  </si>
  <si>
    <t>Edifici Sud Ràdio - Envalira</t>
  </si>
  <si>
    <t>Sud ràdio</t>
  </si>
  <si>
    <t>Excellent</t>
  </si>
  <si>
    <t>Good</t>
  </si>
  <si>
    <t>Fair</t>
  </si>
  <si>
    <t>Poor</t>
  </si>
  <si>
    <t>Moderate</t>
  </si>
  <si>
    <t>Urban Background</t>
  </si>
  <si>
    <t>Traffic</t>
  </si>
  <si>
    <t>Suburban</t>
  </si>
  <si>
    <t>Les Escoles Parking</t>
  </si>
  <si>
    <t>Prat Gran Parking</t>
  </si>
  <si>
    <t>Sud R&amp;agrave;dio Building - Envalira</t>
  </si>
  <si>
    <t>Fond Urbain</t>
  </si>
  <si>
    <t>Trafic</t>
  </si>
  <si>
    <t>Rurale</t>
  </si>
  <si>
    <t>Suburbaine</t>
  </si>
  <si>
    <t>Parking Les Escoles</t>
  </si>
  <si>
    <t>Parking Prat Gran</t>
  </si>
  <si>
    <t>Sud R&amp;agrave;dio b&amp;acirc;timent - Envalira</t>
  </si>
  <si>
    <t>Campagne de mesure du fond urbain</t>
  </si>
  <si>
    <t>Campagne de mesure de NOx &amp;agrave; proximit&amp;eacute; du trafic</t>
  </si>
  <si>
    <t>Campagne de mesure de NOx pr&amp;egrave;s de la Centrale de Cog&amp;eacute;n&amp;eacute;ration</t>
  </si>
  <si>
    <t>web_period_EN</t>
  </si>
  <si>
    <t>web_period_FR</t>
  </si>
  <si>
    <t>Hourly mean</t>
  </si>
  <si>
    <t>8h mean</t>
  </si>
  <si>
    <t>Daily accumulation</t>
  </si>
  <si>
    <t>24h mean</t>
  </si>
  <si>
    <t>Moyenne horaire</t>
  </si>
  <si>
    <t>Moyenne 8-horaire</t>
  </si>
  <si>
    <t>Moyenne 24-horaire</t>
  </si>
  <si>
    <t>Cumul journalier</t>
  </si>
  <si>
    <t>web_period_CAT</t>
  </si>
  <si>
    <t>web_type_EN</t>
  </si>
  <si>
    <t>web_type_CAT</t>
  </si>
  <si>
    <t>web_type_FR</t>
  </si>
  <si>
    <t>web_ubicacio_CAT</t>
  </si>
  <si>
    <t>web_ubicacio_EN</t>
  </si>
  <si>
    <t>web_ubicacio_FR</t>
  </si>
  <si>
    <t>web_comentaris_CAT</t>
  </si>
  <si>
    <t>web_comentaris_EN</t>
  </si>
  <si>
    <t>web_comentaris_FR</t>
  </si>
  <si>
    <t>web_band_CAT</t>
  </si>
  <si>
    <t>web_band_EN</t>
  </si>
  <si>
    <t>web_band_FR</t>
  </si>
  <si>
    <t>#47C5A0</t>
  </si>
  <si>
    <t>#EEE238</t>
  </si>
  <si>
    <t>#FE4646</t>
  </si>
  <si>
    <t>#990000</t>
  </si>
  <si>
    <t>#46EDE3</t>
  </si>
  <si>
    <t>Urban background measurement campaign</t>
  </si>
  <si>
    <t>Near-traffic NOx measurement campaign</t>
  </si>
  <si>
    <t>NOx measurement campaign near the Cogeneration Plant</t>
  </si>
  <si>
    <t>pollutant_id</t>
  </si>
  <si>
    <t>Current meteorological conditions indicate a temperature inversion</t>
  </si>
  <si>
    <t>En ce moment les conditions m&amp;eacute;t&amp;eacute;orologiques sont d'inversion de temp&amp;eacute;rature</t>
  </si>
  <si>
    <t>En ce moment les conditions météorologiques sont d'inversion de température</t>
  </si>
  <si>
    <t>true_CAT</t>
  </si>
  <si>
    <t>true_html_CAT</t>
  </si>
  <si>
    <t>true_html_EN</t>
  </si>
  <si>
    <t>true_FR</t>
  </si>
  <si>
    <t>true_html_FR</t>
  </si>
  <si>
    <t>false_CAT</t>
  </si>
  <si>
    <t>false_html_CAT</t>
  </si>
  <si>
    <t>false_EN</t>
  </si>
  <si>
    <t>false_html_EN</t>
  </si>
  <si>
    <t>false_FR</t>
  </si>
  <si>
    <t>false_html_FR</t>
  </si>
  <si>
    <t>threshold</t>
  </si>
  <si>
    <t>pollutant</t>
  </si>
  <si>
    <t>message_CAT</t>
  </si>
  <si>
    <t>message_html_CAT</t>
  </si>
  <si>
    <t>message_EN</t>
  </si>
  <si>
    <t>message_html_EN</t>
  </si>
  <si>
    <t>message_FR</t>
  </si>
  <si>
    <t>message_html_FR</t>
  </si>
  <si>
    <t>S'ha superat el llindar d'alerta d'ozó troposfèric (&gt;240 µg/m3 h)</t>
  </si>
  <si>
    <t>S'ha superat el llindar d'informació d'ozó troposfèric (&gt;180 µg/m3 h)</t>
  </si>
  <si>
    <t>S'ha superat el valor límit diari de partícules en suspensió (&gt;50 µg/m3 24h)</t>
  </si>
  <si>
    <t>S'ha superat el llindar d'informaci&amp;oacute; d'oz&amp;oacute; troposf&amp;egrave;ric (&gt;180 &amp;micro;g/m&lt;sup&gt;3&lt;/sup&gt;h)</t>
  </si>
  <si>
    <t>S'ha superat el llindar d'alerta d'oz&amp;oacute; troposf&amp;egrave;ric (&gt;240 &amp;micro;g/m&lt;sup&gt;3&lt;/sup&gt;h)</t>
  </si>
  <si>
    <t>S'ha superat el valor l&amp;iacute;mit diari de part&amp;iacute;cules en suspensi&amp;oacute; (&gt;50 &amp;micro;g/m&lt;sup&gt;3&lt;/sup&gt; 24h)</t>
  </si>
  <si>
    <t>Exceedance of the tropospheric ozone information threshold (&gt;180 µg/m3 h)</t>
  </si>
  <si>
    <t>Exceedance of the tropospheric ozone information threshold (&gt;180 &amp;micro;g/m&lt;sup&gt;3&lt;/sup&gt;h)</t>
  </si>
  <si>
    <t>Exceedance of the tropospheric ozone alert threshold (&gt;240 µg/m3 h)</t>
  </si>
  <si>
    <t>Exceedance of the tropospheric ozone alert threshold (&gt;240 &amp;micro;g/m&lt;sup&gt;3&lt;/sup&gt;h)</t>
  </si>
  <si>
    <t>Exceedance of the daily threshold of particulate matter (&gt;50 µg/m3 24h)</t>
  </si>
  <si>
    <t>Exceedance of the daily threshold of particulate matter (&gt;50 &amp;micro;g/m&lt;sup&gt;3&lt;/sup&gt; 24h)</t>
  </si>
  <si>
    <t>Dépassement du seuil d'information sur l'ozone troposphérique (&gt;180 µg/m3 h)</t>
  </si>
  <si>
    <t>Dépassement du seuil d'alerte sur l'ozone troposphérique (&gt;240 µg/m3 h)</t>
  </si>
  <si>
    <t>D&amp;eacute;passement du seuil d'information sur l'ozone troposph&amp;eacute;rique (&gt;180 &amp;micro;g/m&lt;sup&gt;3&lt;/sup&gt; h)</t>
  </si>
  <si>
    <t>D&amp;eacute;passement du seuil d'alerte sur l'ozone troposph&amp;eacute;rique (&gt;240 &amp;micro;g/m&lt;sup&gt;3&lt;/sup&gt; h)</t>
  </si>
  <si>
    <t>D&amp;eacute;passement du seuil journalier de particules en suspension (&gt;50 &amp;micro;g/m&lt;sup&gt;3&lt;/sup&gt; 24h)</t>
  </si>
  <si>
    <t>Dépassement du seuil journalier de particules en suspension (&gt;50 µg/m3 24h)</t>
  </si>
  <si>
    <t>Moyen</t>
  </si>
  <si>
    <t>D&amp;eacute;grad&amp;eacute;</t>
  </si>
  <si>
    <t>Bon</t>
  </si>
  <si>
    <t>Mauvais</t>
  </si>
  <si>
    <t>moreinfo_CAT</t>
  </si>
  <si>
    <t>(m&amp;eacute;s informaci&amp;oacute;)</t>
  </si>
  <si>
    <t>moreinfo_EN</t>
  </si>
  <si>
    <t>(more information)</t>
  </si>
  <si>
    <t>moreinfo_FR</t>
  </si>
  <si>
    <t>(plus d'informations)</t>
  </si>
  <si>
    <t>moreinfo_url</t>
  </si>
  <si>
    <t>SR</t>
  </si>
  <si>
    <t>RS</t>
  </si>
  <si>
    <t>Radiació solar</t>
  </si>
  <si>
    <t>http://dd.eionet.europa.eu/vocabulary/aq/meteoparameter/74</t>
  </si>
  <si>
    <t>NO&lt;sub&gt;2&lt;/sub&gt;</t>
  </si>
  <si>
    <t>M&amp;ograve;bil 1</t>
  </si>
  <si>
    <t>Molt dolenta</t>
  </si>
  <si>
    <t>Very poor</t>
  </si>
  <si>
    <t>Tr&amp;egrave;s mauvais</t>
  </si>
  <si>
    <t>#7D2181</t>
  </si>
  <si>
    <t>start_date</t>
  </si>
  <si>
    <t>end_date</t>
  </si>
  <si>
    <t>NA</t>
  </si>
  <si>
    <t xml:space="preserve"> </t>
  </si>
  <si>
    <t>#696969</t>
  </si>
  <si>
    <t>Dades no disponibles</t>
  </si>
  <si>
    <t>Data not available</t>
  </si>
  <si>
    <t>Donn&amp;eacute;es non disponibles</t>
  </si>
  <si>
    <t>AD0940A</t>
  </si>
  <si>
    <t>AD0943A</t>
  </si>
  <si>
    <t>AD0942A</t>
  </si>
  <si>
    <t>AD0944A</t>
  </si>
  <si>
    <t>AD0941A</t>
  </si>
  <si>
    <t>AD0945A</t>
  </si>
  <si>
    <t>station</t>
  </si>
  <si>
    <t>#4575B4</t>
  </si>
  <si>
    <t>#74ADD1</t>
  </si>
  <si>
    <t>#ABD9E9</t>
  </si>
  <si>
    <t>#FEE090</t>
  </si>
  <si>
    <t>#FDAE61</t>
  </si>
  <si>
    <t>#F46D43</t>
  </si>
  <si>
    <t>#D73027</t>
  </si>
  <si>
    <t>#000000</t>
  </si>
  <si>
    <t>web_units_graph</t>
  </si>
  <si>
    <t>ug/m3</t>
  </si>
  <si>
    <t>degC</t>
  </si>
  <si>
    <t>#440154</t>
  </si>
  <si>
    <t>#46327e</t>
  </si>
  <si>
    <t>#365c8d</t>
  </si>
  <si>
    <t>#277f8e</t>
  </si>
  <si>
    <t>#1fa187</t>
  </si>
  <si>
    <t>#4ac16d</t>
  </si>
  <si>
    <t>#a0da39</t>
  </si>
  <si>
    <t>#fde725</t>
  </si>
  <si>
    <t>M&amp;ograve;bil 3</t>
  </si>
  <si>
    <t>web_name_noaccents</t>
  </si>
  <si>
    <t>Mobil 1</t>
  </si>
  <si>
    <t>Mobil 3</t>
  </si>
  <si>
    <t>Mobil 2</t>
  </si>
  <si>
    <t>Sud radio</t>
  </si>
  <si>
    <t>nova proposta</t>
  </si>
  <si>
    <t>#3F51B5</t>
  </si>
  <si>
    <t>#9E9E9E</t>
  </si>
  <si>
    <t>#795548</t>
  </si>
  <si>
    <t>#FFC107</t>
  </si>
  <si>
    <t>#FF5722</t>
  </si>
  <si>
    <t>ultim</t>
  </si>
  <si>
    <t>#39C0FD</t>
  </si>
  <si>
    <t>#FA9B66</t>
  </si>
  <si>
    <t>#A421A7</t>
  </si>
  <si>
    <t>#BACA24</t>
  </si>
  <si>
    <t>nom_CAT</t>
  </si>
  <si>
    <t>Cupressus</t>
  </si>
  <si>
    <t>Xiprer</t>
  </si>
  <si>
    <t>pollen</t>
  </si>
  <si>
    <t>Corylus</t>
  </si>
  <si>
    <t>Avellaner</t>
  </si>
  <si>
    <t>Betula</t>
  </si>
  <si>
    <t>Bedoll</t>
  </si>
  <si>
    <t>Carpinus</t>
  </si>
  <si>
    <t>Carpí</t>
  </si>
  <si>
    <t>Carp&amp;iacute;</t>
  </si>
  <si>
    <t>Alnus</t>
  </si>
  <si>
    <t>Vern</t>
  </si>
  <si>
    <t>Populus</t>
  </si>
  <si>
    <t>Pollancre-xop</t>
  </si>
  <si>
    <t>Salix</t>
  </si>
  <si>
    <t>Salze</t>
  </si>
  <si>
    <t>Ulmus</t>
  </si>
  <si>
    <t>Om</t>
  </si>
  <si>
    <t>Fraxinus</t>
  </si>
  <si>
    <t>Freixe</t>
  </si>
  <si>
    <t>Olea</t>
  </si>
  <si>
    <t>Olivera</t>
  </si>
  <si>
    <t>Platanus</t>
  </si>
  <si>
    <t>Plàtan d'ombra</t>
  </si>
  <si>
    <t>Pl&amp;agrave;tan d'ombra</t>
  </si>
  <si>
    <t>Morus</t>
  </si>
  <si>
    <t>Morera</t>
  </si>
  <si>
    <t>Castanea</t>
  </si>
  <si>
    <t>Castanyer</t>
  </si>
  <si>
    <t>Fagus</t>
  </si>
  <si>
    <t>Faig</t>
  </si>
  <si>
    <t>Quercus</t>
  </si>
  <si>
    <t>Alzina i roure</t>
  </si>
  <si>
    <t>Pinus</t>
  </si>
  <si>
    <t>Pi</t>
  </si>
  <si>
    <t>Tilia</t>
  </si>
  <si>
    <t>Til·ler</t>
  </si>
  <si>
    <t>Til&amp;middot;ler</t>
  </si>
  <si>
    <t>Rumex</t>
  </si>
  <si>
    <t>Agrelles</t>
  </si>
  <si>
    <t>Gramineae</t>
  </si>
  <si>
    <t>Gramínies</t>
  </si>
  <si>
    <t>Gram&amp;iacute;nies</t>
  </si>
  <si>
    <t>Plantago</t>
  </si>
  <si>
    <t>Plantatge</t>
  </si>
  <si>
    <t>Parietaria</t>
  </si>
  <si>
    <t>Chenopodium</t>
  </si>
  <si>
    <t>Blet</t>
  </si>
  <si>
    <t>Artemisia</t>
  </si>
  <si>
    <t>Artemísia</t>
  </si>
  <si>
    <t>Artem&amp;iacute;sia</t>
  </si>
  <si>
    <t>Ambrosia</t>
  </si>
  <si>
    <t>Alternaria</t>
  </si>
  <si>
    <t>Alternària</t>
  </si>
  <si>
    <t>Altern&amp;agrave;ria</t>
  </si>
  <si>
    <t>espora</t>
  </si>
  <si>
    <t>Cladosporium</t>
  </si>
  <si>
    <t>web_name_CAT</t>
  </si>
  <si>
    <t>species</t>
  </si>
  <si>
    <t>Actualment hi ha condicions d'inversió tèrmica</t>
  </si>
  <si>
    <t>Actualment hi ha condicions d'inversi&amp;oacute; t&amp;egrave;rmica</t>
  </si>
  <si>
    <t>http://www.aire.ad/about_air/air_atmospheric_phenomena?jumpTo=thermalInversion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</si>
</sst>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20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8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B05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13">
    <xf numFmtId="0" fontId="0" fillId="0" borderId="0" xfId="0"/>
    <xf numFmtId="22" fontId="0" fillId="0" borderId="0" xfId="0" applyNumberFormat="1"/>
    <xf numFmtId="0" fontId="0" fillId="33" borderId="0" xfId="0" applyFill="1"/>
    <xf numFmtId="0" fontId="0" fillId="0" borderId="0" xfId="0" quotePrefix="1"/>
    <xf numFmtId="0" fontId="0" fillId="33" borderId="0" xfId="0" quotePrefix="1" applyFill="1"/>
    <xf numFmtId="0" fontId="0" fillId="0" borderId="0" xfId="0" applyAlignment="1">
      <alignment horizontal="left"/>
    </xf>
    <xf numFmtId="164" fontId="0" fillId="0" borderId="0" xfId="0" applyNumberFormat="1" applyAlignment="1">
      <alignment horizontal="left"/>
    </xf>
    <xf numFmtId="0" fontId="0" fillId="0" borderId="0" xfId="0" applyFill="1"/>
    <xf numFmtId="0" fontId="0" fillId="0" borderId="0" xfId="0" quotePrefix="1" applyFill="1"/>
    <xf numFmtId="0" fontId="18" fillId="0" borderId="0" xfId="42" applyFill="1"/>
    <xf numFmtId="0" fontId="18" fillId="0" borderId="0" xfId="42" quotePrefix="1" applyFill="1"/>
    <xf numFmtId="0" fontId="18" fillId="0" borderId="0" xfId="42"/>
    <xf numFmtId="14" fontId="0" fillId="0" borderId="0" xfId="0" applyNumberFormat="1"/>
  </cellXfs>
  <cellStyles count="43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://dd.eionet.europa.eu/vocabulary/uom/concentration/ug.m-3" TargetMode="External"/><Relationship Id="rId13" Type="http://schemas.openxmlformats.org/officeDocument/2006/relationships/hyperlink" Target="http://dd.eionet.europa.eu/vocabulary/aq/meteoparameter/54" TargetMode="External"/><Relationship Id="rId18" Type="http://schemas.openxmlformats.org/officeDocument/2006/relationships/hyperlink" Target="http://dd.eionet.europa.eu/vocabulary/aq/meteoparameter/52" TargetMode="External"/><Relationship Id="rId3" Type="http://schemas.openxmlformats.org/officeDocument/2006/relationships/hyperlink" Target="http://dd.eionet.europa.eu/vocabulary/uom/concentration/ug.m-3" TargetMode="External"/><Relationship Id="rId7" Type="http://schemas.openxmlformats.org/officeDocument/2006/relationships/hyperlink" Target="http://dd.eionet.europa.eu/vocabulary/uom/concentration/ug.m-3" TargetMode="External"/><Relationship Id="rId12" Type="http://schemas.openxmlformats.org/officeDocument/2006/relationships/hyperlink" Target="http://dd.eionet.europa.eu/vocabulary/aq/meteoparameter/51" TargetMode="External"/><Relationship Id="rId17" Type="http://schemas.openxmlformats.org/officeDocument/2006/relationships/hyperlink" Target="http://dd.eionet.europa.eu/vocabulary/aq/meteoparameter/60" TargetMode="External"/><Relationship Id="rId2" Type="http://schemas.openxmlformats.org/officeDocument/2006/relationships/hyperlink" Target="http://dd.eionet.europa.eu/vocabulary/uom/concentration/ug.m-3" TargetMode="External"/><Relationship Id="rId16" Type="http://schemas.openxmlformats.org/officeDocument/2006/relationships/hyperlink" Target="http://dd.eionet.europa.eu/vocabulary/aq/meteoparameter/72" TargetMode="External"/><Relationship Id="rId1" Type="http://schemas.openxmlformats.org/officeDocument/2006/relationships/hyperlink" Target="http://dd.eionet.europa.eu/vocabulary/uom/concentration/ug.m-3" TargetMode="External"/><Relationship Id="rId6" Type="http://schemas.openxmlformats.org/officeDocument/2006/relationships/hyperlink" Target="http://dd.eionet.europa.eu/vocabulary/uom/concentration/ug.m-3" TargetMode="External"/><Relationship Id="rId11" Type="http://schemas.openxmlformats.org/officeDocument/2006/relationships/hyperlink" Target="http://dd.eionet.europa.eu/vocabulary/uom/velocity/m.s-1" TargetMode="External"/><Relationship Id="rId5" Type="http://schemas.openxmlformats.org/officeDocument/2006/relationships/hyperlink" Target="http://dd.eionet.europa.eu/vocabulary/uom/concentration/ug.m-3" TargetMode="External"/><Relationship Id="rId15" Type="http://schemas.openxmlformats.org/officeDocument/2006/relationships/hyperlink" Target="http://dd.eionet.europa.eu/vocabulary/aq/meteoparameter/53" TargetMode="External"/><Relationship Id="rId10" Type="http://schemas.openxmlformats.org/officeDocument/2006/relationships/hyperlink" Target="http://dd.eionet.europa.eu/vocabulary/uom/concentration/mg.m-3" TargetMode="External"/><Relationship Id="rId19" Type="http://schemas.openxmlformats.org/officeDocument/2006/relationships/hyperlink" Target="http://dd.eionet.europa.eu/vocabulary/aq/meteoparameter/58" TargetMode="External"/><Relationship Id="rId4" Type="http://schemas.openxmlformats.org/officeDocument/2006/relationships/hyperlink" Target="http://dd.eionet.europa.eu/vocabulary/uom/concentration/ug.m-3" TargetMode="External"/><Relationship Id="rId9" Type="http://schemas.openxmlformats.org/officeDocument/2006/relationships/hyperlink" Target="http://dd.eionet.europa.eu/vocabulary/uom/concentration/ug.m-3" TargetMode="External"/><Relationship Id="rId14" Type="http://schemas.openxmlformats.org/officeDocument/2006/relationships/hyperlink" Target="http://dd.eionet.europa.eu/vocabulary/aq/meteoparameter/58" TargetMode="Externa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http://dd.eionet.europa.eu/vocabulary/uom/concentration/ug.m-3" TargetMode="External"/><Relationship Id="rId13" Type="http://schemas.openxmlformats.org/officeDocument/2006/relationships/hyperlink" Target="http://dd.eionet.europa.eu/vocabulary/aq/meteoparameter/54" TargetMode="External"/><Relationship Id="rId18" Type="http://schemas.openxmlformats.org/officeDocument/2006/relationships/hyperlink" Target="http://dd.eionet.europa.eu/vocabulary/aq/meteoparameter/58" TargetMode="External"/><Relationship Id="rId3" Type="http://schemas.openxmlformats.org/officeDocument/2006/relationships/hyperlink" Target="http://dd.eionet.europa.eu/vocabulary/uom/concentration/ug.m-3" TargetMode="External"/><Relationship Id="rId7" Type="http://schemas.openxmlformats.org/officeDocument/2006/relationships/hyperlink" Target="http://dd.eionet.europa.eu/vocabulary/uom/concentration/ug.m-3" TargetMode="External"/><Relationship Id="rId12" Type="http://schemas.openxmlformats.org/officeDocument/2006/relationships/hyperlink" Target="http://dd.eionet.europa.eu/vocabulary/aq/meteoparameter/51" TargetMode="External"/><Relationship Id="rId17" Type="http://schemas.openxmlformats.org/officeDocument/2006/relationships/hyperlink" Target="http://dd.eionet.europa.eu/vocabulary/aq/meteoparameter/52" TargetMode="External"/><Relationship Id="rId2" Type="http://schemas.openxmlformats.org/officeDocument/2006/relationships/hyperlink" Target="http://dd.eionet.europa.eu/vocabulary/uom/concentration/ug.m-3" TargetMode="External"/><Relationship Id="rId16" Type="http://schemas.openxmlformats.org/officeDocument/2006/relationships/hyperlink" Target="http://dd.eionet.europa.eu/vocabulary/aq/meteoparameter/60" TargetMode="External"/><Relationship Id="rId20" Type="http://schemas.openxmlformats.org/officeDocument/2006/relationships/printerSettings" Target="../printerSettings/printerSettings1.bin"/><Relationship Id="rId1" Type="http://schemas.openxmlformats.org/officeDocument/2006/relationships/hyperlink" Target="http://dd.eionet.europa.eu/vocabulary/uom/concentration/ug.m-3" TargetMode="External"/><Relationship Id="rId6" Type="http://schemas.openxmlformats.org/officeDocument/2006/relationships/hyperlink" Target="http://dd.eionet.europa.eu/vocabulary/uom/concentration/ug.m-3" TargetMode="External"/><Relationship Id="rId11" Type="http://schemas.openxmlformats.org/officeDocument/2006/relationships/hyperlink" Target="http://dd.eionet.europa.eu/vocabulary/uom/velocity/m.s-1" TargetMode="External"/><Relationship Id="rId5" Type="http://schemas.openxmlformats.org/officeDocument/2006/relationships/hyperlink" Target="http://dd.eionet.europa.eu/vocabulary/uom/concentration/ug.m-3" TargetMode="External"/><Relationship Id="rId15" Type="http://schemas.openxmlformats.org/officeDocument/2006/relationships/hyperlink" Target="http://dd.eionet.europa.eu/vocabulary/aq/meteoparameter/53" TargetMode="External"/><Relationship Id="rId10" Type="http://schemas.openxmlformats.org/officeDocument/2006/relationships/hyperlink" Target="http://dd.eionet.europa.eu/vocabulary/uom/concentration/mg.m-3" TargetMode="External"/><Relationship Id="rId19" Type="http://schemas.openxmlformats.org/officeDocument/2006/relationships/hyperlink" Target="http://dd.eionet.europa.eu/vocabulary/aq/meteoparameter/74" TargetMode="External"/><Relationship Id="rId4" Type="http://schemas.openxmlformats.org/officeDocument/2006/relationships/hyperlink" Target="http://dd.eionet.europa.eu/vocabulary/uom/concentration/ug.m-3" TargetMode="External"/><Relationship Id="rId9" Type="http://schemas.openxmlformats.org/officeDocument/2006/relationships/hyperlink" Target="http://dd.eionet.europa.eu/vocabulary/uom/concentration/ug.m-3" TargetMode="External"/><Relationship Id="rId14" Type="http://schemas.openxmlformats.org/officeDocument/2006/relationships/hyperlink" Target="http://dd.eionet.europa.eu/vocabulary/aq/meteoparameter/58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http://www.aire.ad/about_air/air_atmospheric_phenomena?jumpTo=thermalInversion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4"/>
  <sheetViews>
    <sheetView zoomScale="80" zoomScaleNormal="80" workbookViewId="0">
      <selection activeCell="L27" sqref="L27"/>
    </sheetView>
  </sheetViews>
  <sheetFormatPr baseColWidth="10" defaultRowHeight="15.6" x14ac:dyDescent="0.3"/>
  <cols>
    <col min="1" max="2" width="15.5" bestFit="1" customWidth="1"/>
    <col min="3" max="3" width="16" bestFit="1" customWidth="1"/>
    <col min="5" max="5" width="20.19921875" bestFit="1" customWidth="1"/>
    <col min="6" max="7" width="20.19921875" customWidth="1"/>
    <col min="8" max="8" width="20.5" bestFit="1" customWidth="1"/>
    <col min="12" max="12" width="14" bestFit="1" customWidth="1"/>
    <col min="13" max="13" width="12.69921875" bestFit="1" customWidth="1"/>
  </cols>
  <sheetData>
    <row r="1" spans="1:12" x14ac:dyDescent="0.3">
      <c r="A1" s="1">
        <v>44540.673611111109</v>
      </c>
      <c r="B1" s="1">
        <v>44540.416666666664</v>
      </c>
      <c r="C1" s="1">
        <v>44540.666666666664</v>
      </c>
      <c r="D1" t="s">
        <v>0</v>
      </c>
      <c r="E1" t="s">
        <v>1</v>
      </c>
    </row>
    <row r="2" spans="1:12" x14ac:dyDescent="0.3">
      <c r="A2" t="s">
        <v>2</v>
      </c>
      <c r="B2" t="s">
        <v>3</v>
      </c>
      <c r="C2" t="s">
        <v>4</v>
      </c>
      <c r="D2" t="s">
        <v>5</v>
      </c>
      <c r="E2" t="s">
        <v>6</v>
      </c>
    </row>
    <row r="3" spans="1:12" x14ac:dyDescent="0.3">
      <c r="A3">
        <v>80</v>
      </c>
      <c r="B3">
        <v>942</v>
      </c>
      <c r="C3">
        <v>1</v>
      </c>
      <c r="D3">
        <v>11</v>
      </c>
      <c r="E3" t="s">
        <v>7</v>
      </c>
      <c r="F3" t="str">
        <f>VLOOKUP(D3,I:K,3,FALSE)</f>
        <v>0001</v>
      </c>
      <c r="G3" t="str">
        <f>B3&amp;"-"</f>
        <v>942-</v>
      </c>
      <c r="H3" t="str">
        <f>"OC-SPO-AD0"&amp;B3&amp;"A-"&amp;F3</f>
        <v>OC-SPO-AD0942A-0001</v>
      </c>
    </row>
    <row r="4" spans="1:12" x14ac:dyDescent="0.3">
      <c r="A4">
        <v>80</v>
      </c>
      <c r="B4">
        <v>942</v>
      </c>
      <c r="C4">
        <v>2</v>
      </c>
      <c r="D4">
        <v>21</v>
      </c>
      <c r="E4" t="s">
        <v>7</v>
      </c>
      <c r="F4" t="str">
        <f t="shared" ref="F4:F44" si="0">VLOOKUP(D4,I:K,3,FALSE)</f>
        <v>0038</v>
      </c>
      <c r="H4" t="str">
        <f t="shared" ref="H4:H44" si="1">"OC-SPO-AD0"&amp;B4&amp;"A-"&amp;F4</f>
        <v>OC-SPO-AD0942A-0038</v>
      </c>
      <c r="I4" t="s">
        <v>5</v>
      </c>
      <c r="J4" t="s">
        <v>6</v>
      </c>
    </row>
    <row r="5" spans="1:12" x14ac:dyDescent="0.3">
      <c r="A5">
        <v>80</v>
      </c>
      <c r="B5">
        <v>942</v>
      </c>
      <c r="C5">
        <v>3</v>
      </c>
      <c r="D5">
        <v>31</v>
      </c>
      <c r="E5" t="s">
        <v>7</v>
      </c>
      <c r="F5" t="str">
        <f t="shared" si="0"/>
        <v>0008</v>
      </c>
      <c r="H5" t="str">
        <f t="shared" si="1"/>
        <v>OC-SPO-AD0942A-0008</v>
      </c>
      <c r="I5" s="2">
        <v>11</v>
      </c>
      <c r="J5" s="2" t="s">
        <v>7</v>
      </c>
      <c r="K5" s="3" t="s">
        <v>40</v>
      </c>
      <c r="L5" s="2" t="s">
        <v>26</v>
      </c>
    </row>
    <row r="6" spans="1:12" x14ac:dyDescent="0.3">
      <c r="A6">
        <v>80</v>
      </c>
      <c r="B6">
        <v>942</v>
      </c>
      <c r="C6">
        <v>4</v>
      </c>
      <c r="D6">
        <v>121</v>
      </c>
      <c r="E6" t="s">
        <v>7</v>
      </c>
      <c r="F6" t="str">
        <f t="shared" si="0"/>
        <v>0009</v>
      </c>
      <c r="H6" t="str">
        <f t="shared" si="1"/>
        <v>OC-SPO-AD0942A-0009</v>
      </c>
      <c r="I6" s="2">
        <v>21</v>
      </c>
      <c r="J6" s="2" t="s">
        <v>7</v>
      </c>
      <c r="K6" s="3" t="s">
        <v>41</v>
      </c>
      <c r="L6" s="2" t="s">
        <v>27</v>
      </c>
    </row>
    <row r="7" spans="1:12" x14ac:dyDescent="0.3">
      <c r="A7">
        <v>80</v>
      </c>
      <c r="B7">
        <v>942</v>
      </c>
      <c r="C7">
        <v>5</v>
      </c>
      <c r="D7">
        <v>41</v>
      </c>
      <c r="E7" t="s">
        <v>8</v>
      </c>
      <c r="F7" t="str">
        <f t="shared" si="0"/>
        <v>0010</v>
      </c>
      <c r="H7" t="str">
        <f t="shared" si="1"/>
        <v>OC-SPO-AD0942A-0010</v>
      </c>
      <c r="I7" s="2">
        <v>31</v>
      </c>
      <c r="J7" s="2" t="s">
        <v>7</v>
      </c>
      <c r="K7" s="3" t="s">
        <v>42</v>
      </c>
      <c r="L7" s="2" t="s">
        <v>28</v>
      </c>
    </row>
    <row r="8" spans="1:12" x14ac:dyDescent="0.3">
      <c r="A8">
        <v>80</v>
      </c>
      <c r="B8">
        <v>942</v>
      </c>
      <c r="C8">
        <v>6</v>
      </c>
      <c r="D8">
        <v>81</v>
      </c>
      <c r="E8" t="s">
        <v>7</v>
      </c>
      <c r="F8" t="str">
        <f t="shared" si="0"/>
        <v>0007</v>
      </c>
      <c r="H8" t="str">
        <f t="shared" si="1"/>
        <v>OC-SPO-AD0942A-0007</v>
      </c>
      <c r="I8" s="2">
        <v>121</v>
      </c>
      <c r="J8" s="2" t="s">
        <v>7</v>
      </c>
      <c r="K8" s="3" t="s">
        <v>43</v>
      </c>
      <c r="L8" s="2" t="s">
        <v>29</v>
      </c>
    </row>
    <row r="9" spans="1:12" x14ac:dyDescent="0.3">
      <c r="A9">
        <v>80</v>
      </c>
      <c r="B9">
        <v>942</v>
      </c>
      <c r="C9">
        <v>9</v>
      </c>
      <c r="D9">
        <v>521</v>
      </c>
      <c r="E9" t="s">
        <v>9</v>
      </c>
      <c r="F9" t="str">
        <f t="shared" si="0"/>
        <v>9052</v>
      </c>
      <c r="H9" t="str">
        <f t="shared" si="1"/>
        <v>OC-SPO-AD0942A-9052</v>
      </c>
      <c r="I9" s="2">
        <v>41</v>
      </c>
      <c r="J9" s="2" t="s">
        <v>8</v>
      </c>
      <c r="K9" s="3" t="s">
        <v>44</v>
      </c>
      <c r="L9" s="2" t="s">
        <v>17</v>
      </c>
    </row>
    <row r="10" spans="1:12" x14ac:dyDescent="0.3">
      <c r="A10">
        <v>80</v>
      </c>
      <c r="B10">
        <v>942</v>
      </c>
      <c r="C10">
        <v>10</v>
      </c>
      <c r="D10">
        <v>511</v>
      </c>
      <c r="E10" t="s">
        <v>10</v>
      </c>
      <c r="F10" t="str">
        <f t="shared" si="0"/>
        <v>9051</v>
      </c>
      <c r="H10" t="str">
        <f t="shared" si="1"/>
        <v>OC-SPO-AD0942A-9051</v>
      </c>
      <c r="I10" s="2">
        <v>81</v>
      </c>
      <c r="J10" s="2" t="s">
        <v>7</v>
      </c>
      <c r="K10" s="3" t="s">
        <v>45</v>
      </c>
      <c r="L10" s="2" t="s">
        <v>21</v>
      </c>
    </row>
    <row r="11" spans="1:12" x14ac:dyDescent="0.3">
      <c r="A11">
        <v>80</v>
      </c>
      <c r="B11">
        <v>942</v>
      </c>
      <c r="C11">
        <v>11</v>
      </c>
      <c r="D11">
        <v>541</v>
      </c>
      <c r="E11" t="s">
        <v>11</v>
      </c>
      <c r="F11" t="str">
        <f t="shared" si="0"/>
        <v>9054</v>
      </c>
      <c r="H11" t="str">
        <f t="shared" si="1"/>
        <v>OC-SPO-AD0942A-9054</v>
      </c>
      <c r="I11" s="2">
        <v>521</v>
      </c>
      <c r="J11" s="2" t="s">
        <v>9</v>
      </c>
      <c r="K11" s="4" t="s">
        <v>47</v>
      </c>
      <c r="L11" s="2" t="s">
        <v>18</v>
      </c>
    </row>
    <row r="12" spans="1:12" x14ac:dyDescent="0.3">
      <c r="A12">
        <v>80</v>
      </c>
      <c r="B12">
        <v>942</v>
      </c>
      <c r="C12">
        <v>12</v>
      </c>
      <c r="D12">
        <v>581</v>
      </c>
      <c r="E12" t="s">
        <v>12</v>
      </c>
      <c r="F12" t="str">
        <f t="shared" si="0"/>
        <v>9058</v>
      </c>
      <c r="H12" t="str">
        <f t="shared" si="1"/>
        <v>OC-SPO-AD0942A-9058</v>
      </c>
      <c r="I12" s="2">
        <v>511</v>
      </c>
      <c r="J12" s="2" t="s">
        <v>10</v>
      </c>
      <c r="K12" s="4" t="s">
        <v>46</v>
      </c>
      <c r="L12" s="2" t="s">
        <v>22</v>
      </c>
    </row>
    <row r="13" spans="1:12" x14ac:dyDescent="0.3">
      <c r="A13">
        <v>80</v>
      </c>
      <c r="B13">
        <v>942</v>
      </c>
      <c r="C13">
        <v>13</v>
      </c>
      <c r="D13">
        <v>531</v>
      </c>
      <c r="E13" t="s">
        <v>13</v>
      </c>
      <c r="F13" t="str">
        <f t="shared" si="0"/>
        <v>9053</v>
      </c>
      <c r="H13" t="str">
        <f t="shared" si="1"/>
        <v>OC-SPO-AD0942A-9053</v>
      </c>
      <c r="I13" s="2">
        <v>541</v>
      </c>
      <c r="J13" s="2" t="s">
        <v>11</v>
      </c>
      <c r="K13" s="4" t="s">
        <v>48</v>
      </c>
      <c r="L13" s="2" t="s">
        <v>19</v>
      </c>
    </row>
    <row r="14" spans="1:12" x14ac:dyDescent="0.3">
      <c r="A14">
        <v>80</v>
      </c>
      <c r="B14">
        <v>942</v>
      </c>
      <c r="C14">
        <v>14</v>
      </c>
      <c r="D14">
        <v>741</v>
      </c>
      <c r="E14" t="s">
        <v>14</v>
      </c>
      <c r="F14" t="str">
        <f t="shared" si="0"/>
        <v>9072</v>
      </c>
      <c r="H14" t="str">
        <f t="shared" si="1"/>
        <v>OC-SPO-AD0942A-9072</v>
      </c>
      <c r="I14" s="2">
        <v>581</v>
      </c>
      <c r="J14" s="2" t="s">
        <v>12</v>
      </c>
      <c r="K14" s="4" t="s">
        <v>49</v>
      </c>
      <c r="L14" s="2" t="s">
        <v>20</v>
      </c>
    </row>
    <row r="15" spans="1:12" x14ac:dyDescent="0.3">
      <c r="A15">
        <v>80</v>
      </c>
      <c r="B15">
        <v>942</v>
      </c>
      <c r="C15">
        <v>15</v>
      </c>
      <c r="D15">
        <v>601</v>
      </c>
      <c r="E15" t="s">
        <v>15</v>
      </c>
      <c r="F15" t="str">
        <f t="shared" si="0"/>
        <v>9060</v>
      </c>
      <c r="H15" t="str">
        <f t="shared" si="1"/>
        <v>OC-SPO-AD0942A-9060</v>
      </c>
      <c r="I15" s="2">
        <v>531</v>
      </c>
      <c r="J15" s="2" t="s">
        <v>13</v>
      </c>
      <c r="K15" s="4" t="s">
        <v>50</v>
      </c>
      <c r="L15" s="2" t="s">
        <v>23</v>
      </c>
    </row>
    <row r="16" spans="1:12" x14ac:dyDescent="0.3">
      <c r="A16">
        <v>80</v>
      </c>
      <c r="B16">
        <v>940</v>
      </c>
      <c r="C16">
        <v>2</v>
      </c>
      <c r="D16">
        <v>21</v>
      </c>
      <c r="E16" t="s">
        <v>7</v>
      </c>
      <c r="F16" t="str">
        <f t="shared" si="0"/>
        <v>0038</v>
      </c>
      <c r="H16" t="str">
        <f t="shared" si="1"/>
        <v>OC-SPO-AD0940A-0038</v>
      </c>
      <c r="I16" s="2">
        <v>741</v>
      </c>
      <c r="J16" s="2" t="s">
        <v>14</v>
      </c>
      <c r="K16" s="4" t="s">
        <v>51</v>
      </c>
      <c r="L16" s="2" t="s">
        <v>24</v>
      </c>
    </row>
    <row r="17" spans="1:14" x14ac:dyDescent="0.3">
      <c r="A17">
        <v>80</v>
      </c>
      <c r="B17">
        <v>940</v>
      </c>
      <c r="C17">
        <v>3</v>
      </c>
      <c r="D17">
        <v>31</v>
      </c>
      <c r="E17" t="s">
        <v>7</v>
      </c>
      <c r="F17" t="str">
        <f t="shared" si="0"/>
        <v>0008</v>
      </c>
      <c r="H17" t="str">
        <f t="shared" si="1"/>
        <v>OC-SPO-AD0940A-0008</v>
      </c>
      <c r="I17" s="2">
        <v>601</v>
      </c>
      <c r="J17" s="2" t="s">
        <v>15</v>
      </c>
      <c r="K17" s="4" t="s">
        <v>52</v>
      </c>
      <c r="L17" s="2" t="s">
        <v>25</v>
      </c>
    </row>
    <row r="18" spans="1:14" x14ac:dyDescent="0.3">
      <c r="A18">
        <v>80</v>
      </c>
      <c r="B18">
        <v>940</v>
      </c>
      <c r="C18">
        <v>18</v>
      </c>
      <c r="D18">
        <v>121</v>
      </c>
      <c r="E18" t="s">
        <v>7</v>
      </c>
      <c r="F18" t="str">
        <f t="shared" si="0"/>
        <v>0009</v>
      </c>
      <c r="H18" t="str">
        <f t="shared" si="1"/>
        <v>OC-SPO-AD0940A-0009</v>
      </c>
      <c r="I18" s="2">
        <v>241</v>
      </c>
      <c r="J18" s="2" t="s">
        <v>7</v>
      </c>
      <c r="K18" s="4" t="s">
        <v>53</v>
      </c>
      <c r="L18" s="2" t="s">
        <v>30</v>
      </c>
      <c r="M18" s="2" t="s">
        <v>34</v>
      </c>
      <c r="N18" t="s">
        <v>35</v>
      </c>
    </row>
    <row r="19" spans="1:14" x14ac:dyDescent="0.3">
      <c r="A19">
        <v>80</v>
      </c>
      <c r="B19">
        <v>940</v>
      </c>
      <c r="C19">
        <v>5</v>
      </c>
      <c r="D19">
        <v>81</v>
      </c>
      <c r="E19" t="s">
        <v>7</v>
      </c>
      <c r="F19" t="str">
        <f t="shared" si="0"/>
        <v>0007</v>
      </c>
      <c r="H19" t="str">
        <f t="shared" si="1"/>
        <v>OC-SPO-AD0940A-0007</v>
      </c>
      <c r="I19">
        <v>582</v>
      </c>
      <c r="J19" t="s">
        <v>12</v>
      </c>
      <c r="L19" t="s">
        <v>36</v>
      </c>
      <c r="N19" t="s">
        <v>35</v>
      </c>
    </row>
    <row r="20" spans="1:14" x14ac:dyDescent="0.3">
      <c r="A20">
        <v>80</v>
      </c>
      <c r="B20">
        <v>940</v>
      </c>
      <c r="C20">
        <v>8</v>
      </c>
      <c r="D20">
        <v>241</v>
      </c>
      <c r="E20" t="s">
        <v>7</v>
      </c>
      <c r="F20" t="str">
        <f t="shared" si="0"/>
        <v>0005</v>
      </c>
      <c r="H20" t="str">
        <f t="shared" si="1"/>
        <v>OC-SPO-AD0940A-0005</v>
      </c>
      <c r="I20" s="2">
        <v>531</v>
      </c>
      <c r="J20" s="2" t="s">
        <v>16</v>
      </c>
      <c r="K20" s="4" t="s">
        <v>49</v>
      </c>
      <c r="L20" s="2" t="s">
        <v>23</v>
      </c>
    </row>
    <row r="21" spans="1:14" x14ac:dyDescent="0.3">
      <c r="A21">
        <v>80</v>
      </c>
      <c r="B21">
        <v>940</v>
      </c>
      <c r="C21">
        <v>9</v>
      </c>
      <c r="D21">
        <v>521</v>
      </c>
      <c r="E21" t="s">
        <v>9</v>
      </c>
      <c r="F21" t="str">
        <f t="shared" si="0"/>
        <v>9052</v>
      </c>
      <c r="H21" t="str">
        <f t="shared" si="1"/>
        <v>OC-SPO-AD0940A-9052</v>
      </c>
      <c r="I21" s="2">
        <v>243</v>
      </c>
      <c r="J21" s="2" t="s">
        <v>7</v>
      </c>
      <c r="K21" s="4" t="s">
        <v>53</v>
      </c>
      <c r="L21" s="2" t="s">
        <v>30</v>
      </c>
      <c r="M21" s="2" t="s">
        <v>31</v>
      </c>
    </row>
    <row r="22" spans="1:14" x14ac:dyDescent="0.3">
      <c r="A22">
        <v>80</v>
      </c>
      <c r="B22">
        <v>940</v>
      </c>
      <c r="C22">
        <v>10</v>
      </c>
      <c r="D22">
        <v>511</v>
      </c>
      <c r="E22" t="s">
        <v>10</v>
      </c>
      <c r="F22" t="str">
        <f t="shared" si="0"/>
        <v>9051</v>
      </c>
      <c r="H22" t="str">
        <f t="shared" si="1"/>
        <v>OC-SPO-AD0940A-9051</v>
      </c>
      <c r="I22">
        <v>242</v>
      </c>
      <c r="J22" t="s">
        <v>7</v>
      </c>
      <c r="K22" s="4" t="s">
        <v>54</v>
      </c>
      <c r="L22" t="s">
        <v>32</v>
      </c>
      <c r="M22" t="s">
        <v>33</v>
      </c>
    </row>
    <row r="23" spans="1:14" x14ac:dyDescent="0.3">
      <c r="A23">
        <v>80</v>
      </c>
      <c r="B23">
        <v>940</v>
      </c>
      <c r="C23">
        <v>11</v>
      </c>
      <c r="D23">
        <v>541</v>
      </c>
      <c r="E23" t="s">
        <v>11</v>
      </c>
      <c r="F23" t="str">
        <f t="shared" si="0"/>
        <v>9054</v>
      </c>
      <c r="H23" t="str">
        <f t="shared" si="1"/>
        <v>OC-SPO-AD0940A-9054</v>
      </c>
      <c r="I23" s="2">
        <v>393</v>
      </c>
      <c r="J23" s="2" t="s">
        <v>7</v>
      </c>
      <c r="K23" s="4" t="s">
        <v>54</v>
      </c>
      <c r="L23" s="2" t="s">
        <v>32</v>
      </c>
      <c r="M23" s="2" t="s">
        <v>31</v>
      </c>
    </row>
    <row r="24" spans="1:14" x14ac:dyDescent="0.3">
      <c r="A24">
        <v>80</v>
      </c>
      <c r="B24">
        <v>940</v>
      </c>
      <c r="C24">
        <v>12</v>
      </c>
      <c r="D24">
        <v>582</v>
      </c>
      <c r="E24" t="s">
        <v>12</v>
      </c>
      <c r="F24">
        <f t="shared" si="0"/>
        <v>0</v>
      </c>
      <c r="H24" t="str">
        <f t="shared" si="1"/>
        <v>OC-SPO-AD0940A-0</v>
      </c>
      <c r="I24" t="s">
        <v>37</v>
      </c>
      <c r="J24" s="2" t="s">
        <v>11</v>
      </c>
      <c r="K24" s="2"/>
      <c r="L24" s="2" t="s">
        <v>38</v>
      </c>
      <c r="M24" t="s">
        <v>39</v>
      </c>
      <c r="N24" t="s">
        <v>35</v>
      </c>
    </row>
    <row r="25" spans="1:14" x14ac:dyDescent="0.3">
      <c r="A25">
        <v>80</v>
      </c>
      <c r="B25">
        <v>940</v>
      </c>
      <c r="C25">
        <v>13</v>
      </c>
      <c r="D25">
        <v>531</v>
      </c>
      <c r="E25" t="s">
        <v>13</v>
      </c>
      <c r="F25" t="str">
        <f t="shared" si="0"/>
        <v>9053</v>
      </c>
      <c r="H25" t="str">
        <f t="shared" si="1"/>
        <v>OC-SPO-AD0940A-9053</v>
      </c>
    </row>
    <row r="26" spans="1:14" x14ac:dyDescent="0.3">
      <c r="A26">
        <v>80</v>
      </c>
      <c r="B26">
        <v>940</v>
      </c>
      <c r="C26">
        <v>14</v>
      </c>
      <c r="D26">
        <v>741</v>
      </c>
      <c r="E26" t="s">
        <v>14</v>
      </c>
      <c r="F26" t="str">
        <f t="shared" si="0"/>
        <v>9072</v>
      </c>
      <c r="H26" t="str">
        <f t="shared" si="1"/>
        <v>OC-SPO-AD0940A-9072</v>
      </c>
    </row>
    <row r="27" spans="1:14" x14ac:dyDescent="0.3">
      <c r="A27">
        <v>80</v>
      </c>
      <c r="B27">
        <v>940</v>
      </c>
      <c r="C27">
        <v>15</v>
      </c>
      <c r="D27">
        <v>601</v>
      </c>
      <c r="E27" t="s">
        <v>15</v>
      </c>
      <c r="F27" t="str">
        <f t="shared" si="0"/>
        <v>9060</v>
      </c>
      <c r="H27" t="str">
        <f t="shared" si="1"/>
        <v>OC-SPO-AD0940A-9060</v>
      </c>
    </row>
    <row r="28" spans="1:14" x14ac:dyDescent="0.3">
      <c r="A28">
        <v>80</v>
      </c>
      <c r="B28">
        <v>944</v>
      </c>
      <c r="C28">
        <v>1</v>
      </c>
      <c r="D28">
        <v>81</v>
      </c>
      <c r="E28" t="s">
        <v>7</v>
      </c>
      <c r="F28" t="str">
        <f t="shared" si="0"/>
        <v>0007</v>
      </c>
      <c r="H28" t="str">
        <f t="shared" si="1"/>
        <v>OC-SPO-AD0944A-0007</v>
      </c>
    </row>
    <row r="29" spans="1:14" x14ac:dyDescent="0.3">
      <c r="A29">
        <v>80</v>
      </c>
      <c r="B29">
        <v>944</v>
      </c>
      <c r="C29">
        <v>2</v>
      </c>
      <c r="D29">
        <v>521</v>
      </c>
      <c r="E29" t="s">
        <v>9</v>
      </c>
      <c r="F29" t="str">
        <f t="shared" si="0"/>
        <v>9052</v>
      </c>
      <c r="H29" t="str">
        <f t="shared" si="1"/>
        <v>OC-SPO-AD0944A-9052</v>
      </c>
    </row>
    <row r="30" spans="1:14" x14ac:dyDescent="0.3">
      <c r="A30">
        <v>80</v>
      </c>
      <c r="B30">
        <v>944</v>
      </c>
      <c r="C30">
        <v>3</v>
      </c>
      <c r="D30">
        <v>511</v>
      </c>
      <c r="E30" t="s">
        <v>10</v>
      </c>
      <c r="F30" t="str">
        <f t="shared" si="0"/>
        <v>9051</v>
      </c>
      <c r="H30" t="str">
        <f t="shared" si="1"/>
        <v>OC-SPO-AD0944A-9051</v>
      </c>
    </row>
    <row r="31" spans="1:14" x14ac:dyDescent="0.3">
      <c r="A31">
        <v>80</v>
      </c>
      <c r="B31">
        <v>944</v>
      </c>
      <c r="C31">
        <v>4</v>
      </c>
      <c r="D31">
        <v>531</v>
      </c>
      <c r="E31" t="s">
        <v>16</v>
      </c>
      <c r="F31" t="str">
        <f t="shared" si="0"/>
        <v>9053</v>
      </c>
      <c r="H31" t="str">
        <f t="shared" si="1"/>
        <v>OC-SPO-AD0944A-9053</v>
      </c>
    </row>
    <row r="32" spans="1:14" x14ac:dyDescent="0.3">
      <c r="A32">
        <v>80</v>
      </c>
      <c r="B32">
        <v>944</v>
      </c>
      <c r="C32">
        <v>5</v>
      </c>
      <c r="D32">
        <v>541</v>
      </c>
      <c r="E32" t="s">
        <v>11</v>
      </c>
      <c r="F32" t="str">
        <f t="shared" si="0"/>
        <v>9054</v>
      </c>
      <c r="H32" t="str">
        <f t="shared" si="1"/>
        <v>OC-SPO-AD0944A-9054</v>
      </c>
    </row>
    <row r="33" spans="1:8" x14ac:dyDescent="0.3">
      <c r="A33">
        <v>80</v>
      </c>
      <c r="B33">
        <v>944</v>
      </c>
      <c r="C33">
        <v>6</v>
      </c>
      <c r="D33">
        <v>581</v>
      </c>
      <c r="E33" t="s">
        <v>12</v>
      </c>
      <c r="F33" t="str">
        <f t="shared" si="0"/>
        <v>9058</v>
      </c>
      <c r="H33" t="str">
        <f t="shared" si="1"/>
        <v>OC-SPO-AD0944A-9058</v>
      </c>
    </row>
    <row r="34" spans="1:8" x14ac:dyDescent="0.3">
      <c r="A34">
        <v>80</v>
      </c>
      <c r="B34">
        <v>944</v>
      </c>
      <c r="C34">
        <v>7</v>
      </c>
      <c r="D34">
        <v>741</v>
      </c>
      <c r="E34" t="s">
        <v>14</v>
      </c>
      <c r="F34" t="str">
        <f t="shared" si="0"/>
        <v>9072</v>
      </c>
      <c r="H34" t="str">
        <f t="shared" si="1"/>
        <v>OC-SPO-AD0944A-9072</v>
      </c>
    </row>
    <row r="35" spans="1:8" x14ac:dyDescent="0.3">
      <c r="A35">
        <v>80</v>
      </c>
      <c r="B35">
        <v>944</v>
      </c>
      <c r="C35">
        <v>10</v>
      </c>
      <c r="D35">
        <v>601</v>
      </c>
      <c r="E35" t="s">
        <v>15</v>
      </c>
      <c r="F35" t="str">
        <f t="shared" si="0"/>
        <v>9060</v>
      </c>
      <c r="H35" t="str">
        <f t="shared" si="1"/>
        <v>OC-SPO-AD0944A-9060</v>
      </c>
    </row>
    <row r="36" spans="1:8" x14ac:dyDescent="0.3">
      <c r="A36">
        <v>80</v>
      </c>
      <c r="B36">
        <v>942</v>
      </c>
      <c r="C36">
        <v>27</v>
      </c>
      <c r="D36">
        <v>243</v>
      </c>
      <c r="E36" t="s">
        <v>7</v>
      </c>
      <c r="F36" t="str">
        <f t="shared" si="0"/>
        <v>0005</v>
      </c>
      <c r="H36" t="str">
        <f t="shared" si="1"/>
        <v>OC-SPO-AD0942A-0005</v>
      </c>
    </row>
    <row r="37" spans="1:8" x14ac:dyDescent="0.3">
      <c r="A37">
        <v>80</v>
      </c>
      <c r="B37">
        <v>940</v>
      </c>
      <c r="C37">
        <v>1</v>
      </c>
      <c r="D37">
        <v>11</v>
      </c>
      <c r="E37" t="s">
        <v>7</v>
      </c>
      <c r="F37" t="str">
        <f t="shared" si="0"/>
        <v>0001</v>
      </c>
      <c r="H37" t="str">
        <f t="shared" si="1"/>
        <v>OC-SPO-AD0940A-0001</v>
      </c>
    </row>
    <row r="38" spans="1:8" x14ac:dyDescent="0.3">
      <c r="A38">
        <v>80</v>
      </c>
      <c r="B38">
        <v>940</v>
      </c>
      <c r="C38">
        <v>4</v>
      </c>
      <c r="D38">
        <v>41</v>
      </c>
      <c r="E38" t="s">
        <v>8</v>
      </c>
      <c r="F38" t="str">
        <f t="shared" si="0"/>
        <v>0010</v>
      </c>
      <c r="H38" t="str">
        <f t="shared" si="1"/>
        <v>OC-SPO-AD0940A-0010</v>
      </c>
    </row>
    <row r="39" spans="1:8" x14ac:dyDescent="0.3">
      <c r="A39">
        <v>80</v>
      </c>
      <c r="B39">
        <v>945</v>
      </c>
      <c r="C39">
        <v>1</v>
      </c>
      <c r="D39">
        <v>81</v>
      </c>
      <c r="E39" t="s">
        <v>7</v>
      </c>
      <c r="F39" t="str">
        <f t="shared" si="0"/>
        <v>0007</v>
      </c>
      <c r="H39" t="str">
        <f t="shared" si="1"/>
        <v>OC-SPO-AD0945A-0007</v>
      </c>
    </row>
    <row r="40" spans="1:8" x14ac:dyDescent="0.3">
      <c r="A40">
        <v>80</v>
      </c>
      <c r="B40">
        <v>943</v>
      </c>
      <c r="C40">
        <v>7</v>
      </c>
      <c r="D40">
        <v>21</v>
      </c>
      <c r="E40" t="s">
        <v>7</v>
      </c>
      <c r="F40" t="str">
        <f t="shared" si="0"/>
        <v>0038</v>
      </c>
      <c r="H40" t="str">
        <f t="shared" si="1"/>
        <v>OC-SPO-AD0943A-0038</v>
      </c>
    </row>
    <row r="41" spans="1:8" x14ac:dyDescent="0.3">
      <c r="A41">
        <v>80</v>
      </c>
      <c r="B41">
        <v>943</v>
      </c>
      <c r="C41">
        <v>8</v>
      </c>
      <c r="D41">
        <v>31</v>
      </c>
      <c r="E41" t="s">
        <v>7</v>
      </c>
      <c r="F41" t="str">
        <f t="shared" si="0"/>
        <v>0008</v>
      </c>
      <c r="H41" t="str">
        <f t="shared" si="1"/>
        <v>OC-SPO-AD0943A-0008</v>
      </c>
    </row>
    <row r="42" spans="1:8" x14ac:dyDescent="0.3">
      <c r="A42">
        <v>80</v>
      </c>
      <c r="B42">
        <v>943</v>
      </c>
      <c r="C42">
        <v>9</v>
      </c>
      <c r="D42">
        <v>121</v>
      </c>
      <c r="E42" t="s">
        <v>7</v>
      </c>
      <c r="F42" t="str">
        <f t="shared" si="0"/>
        <v>0009</v>
      </c>
      <c r="H42" t="str">
        <f t="shared" si="1"/>
        <v>OC-SPO-AD0943A-0009</v>
      </c>
    </row>
    <row r="43" spans="1:8" x14ac:dyDescent="0.3">
      <c r="A43">
        <v>80</v>
      </c>
      <c r="B43">
        <v>940</v>
      </c>
      <c r="C43">
        <v>28</v>
      </c>
      <c r="D43">
        <v>242</v>
      </c>
      <c r="E43" t="s">
        <v>7</v>
      </c>
      <c r="F43" t="str">
        <f t="shared" si="0"/>
        <v>6001</v>
      </c>
      <c r="H43" t="str">
        <f t="shared" si="1"/>
        <v>OC-SPO-AD0940A-6001</v>
      </c>
    </row>
    <row r="44" spans="1:8" x14ac:dyDescent="0.3">
      <c r="A44">
        <v>80</v>
      </c>
      <c r="B44">
        <v>942</v>
      </c>
      <c r="C44">
        <v>29</v>
      </c>
      <c r="D44">
        <v>393</v>
      </c>
      <c r="E44" t="s">
        <v>7</v>
      </c>
      <c r="F44" t="str">
        <f t="shared" si="0"/>
        <v>6001</v>
      </c>
      <c r="H44" t="str">
        <f t="shared" si="1"/>
        <v>OC-SPO-AD0942A-6001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9"/>
  <sheetViews>
    <sheetView zoomScale="80" zoomScaleNormal="80" workbookViewId="0">
      <selection activeCell="G1" sqref="G1:G1048576"/>
    </sheetView>
  </sheetViews>
  <sheetFormatPr baseColWidth="10" defaultRowHeight="15.6" x14ac:dyDescent="0.3"/>
  <cols>
    <col min="1" max="1" width="10.5" style="7" bestFit="1" customWidth="1"/>
    <col min="2" max="2" width="10.5" style="7" customWidth="1"/>
    <col min="3" max="4" width="11.19921875" style="7"/>
    <col min="5" max="5" width="17" style="7" bestFit="1" customWidth="1"/>
    <col min="6" max="6" width="22.796875" style="7" bestFit="1" customWidth="1"/>
    <col min="7" max="7" width="17" style="7" customWidth="1"/>
    <col min="8" max="8" width="29.09765625" style="7" bestFit="1" customWidth="1"/>
    <col min="9" max="9" width="23.19921875" style="7" customWidth="1"/>
    <col min="10" max="10" width="19.3984375" style="7" bestFit="1" customWidth="1"/>
    <col min="11" max="11" width="54.296875" style="7" bestFit="1" customWidth="1"/>
    <col min="12" max="12" width="57.796875" style="7" bestFit="1" customWidth="1"/>
    <col min="13" max="16384" width="11.19921875" style="7"/>
  </cols>
  <sheetData>
    <row r="1" spans="1:12" x14ac:dyDescent="0.3">
      <c r="A1" s="7" t="s">
        <v>5</v>
      </c>
      <c r="B1" s="7" t="s">
        <v>255</v>
      </c>
      <c r="C1" s="7" t="s">
        <v>75</v>
      </c>
      <c r="D1" s="7" t="s">
        <v>78</v>
      </c>
      <c r="E1" s="7" t="s">
        <v>77</v>
      </c>
      <c r="F1" s="7" t="s">
        <v>154</v>
      </c>
      <c r="G1" s="7" t="s">
        <v>340</v>
      </c>
      <c r="H1" s="7" t="s">
        <v>150</v>
      </c>
      <c r="I1" s="7" t="s">
        <v>172</v>
      </c>
      <c r="J1" s="7" t="s">
        <v>149</v>
      </c>
      <c r="K1" s="7" t="s">
        <v>59</v>
      </c>
      <c r="L1" s="7" t="s">
        <v>56</v>
      </c>
    </row>
    <row r="2" spans="1:12" x14ac:dyDescent="0.3">
      <c r="A2" s="8">
        <v>11</v>
      </c>
      <c r="B2" s="8" t="s">
        <v>40</v>
      </c>
      <c r="C2" s="7" t="s">
        <v>7</v>
      </c>
      <c r="D2" s="7" t="s">
        <v>26</v>
      </c>
      <c r="E2" s="7" t="s">
        <v>143</v>
      </c>
      <c r="F2" s="7" t="s">
        <v>155</v>
      </c>
      <c r="G2" s="7" t="s">
        <v>341</v>
      </c>
      <c r="H2" s="7" t="s">
        <v>151</v>
      </c>
      <c r="J2" s="7" t="s">
        <v>89</v>
      </c>
      <c r="K2" s="8" t="s">
        <v>67</v>
      </c>
      <c r="L2" s="9" t="s">
        <v>55</v>
      </c>
    </row>
    <row r="3" spans="1:12" x14ac:dyDescent="0.3">
      <c r="A3" s="8">
        <v>21</v>
      </c>
      <c r="B3" s="8" t="s">
        <v>41</v>
      </c>
      <c r="C3" s="7" t="s">
        <v>7</v>
      </c>
      <c r="D3" s="7" t="s">
        <v>27</v>
      </c>
      <c r="E3" s="7" t="s">
        <v>27</v>
      </c>
      <c r="F3" s="7" t="s">
        <v>155</v>
      </c>
      <c r="G3" s="7" t="s">
        <v>341</v>
      </c>
      <c r="H3" s="7" t="s">
        <v>151</v>
      </c>
      <c r="J3" s="7" t="s">
        <v>87</v>
      </c>
      <c r="K3" s="8" t="s">
        <v>68</v>
      </c>
      <c r="L3" s="9" t="s">
        <v>55</v>
      </c>
    </row>
    <row r="4" spans="1:12" x14ac:dyDescent="0.3">
      <c r="A4" s="8">
        <v>31</v>
      </c>
      <c r="B4" s="8" t="s">
        <v>42</v>
      </c>
      <c r="C4" s="7" t="s">
        <v>7</v>
      </c>
      <c r="D4" s="7" t="s">
        <v>28</v>
      </c>
      <c r="E4" s="7" t="s">
        <v>144</v>
      </c>
      <c r="F4" s="7" t="s">
        <v>155</v>
      </c>
      <c r="G4" s="7" t="s">
        <v>341</v>
      </c>
      <c r="H4" s="7" t="s">
        <v>151</v>
      </c>
      <c r="J4" s="7" t="s">
        <v>88</v>
      </c>
      <c r="K4" s="8" t="s">
        <v>69</v>
      </c>
      <c r="L4" s="9" t="s">
        <v>55</v>
      </c>
    </row>
    <row r="5" spans="1:12" x14ac:dyDescent="0.3">
      <c r="A5" s="7">
        <v>121</v>
      </c>
      <c r="B5" s="8" t="s">
        <v>43</v>
      </c>
      <c r="C5" s="7" t="s">
        <v>7</v>
      </c>
      <c r="D5" s="7" t="s">
        <v>76</v>
      </c>
      <c r="E5" s="7" t="s">
        <v>145</v>
      </c>
      <c r="F5" s="7" t="s">
        <v>155</v>
      </c>
      <c r="G5" s="7" t="s">
        <v>341</v>
      </c>
      <c r="H5" s="7" t="s">
        <v>151</v>
      </c>
      <c r="J5" s="7" t="s">
        <v>92</v>
      </c>
      <c r="K5" s="8" t="s">
        <v>70</v>
      </c>
      <c r="L5" s="9" t="s">
        <v>55</v>
      </c>
    </row>
    <row r="6" spans="1:12" x14ac:dyDescent="0.3">
      <c r="A6" s="8">
        <v>41</v>
      </c>
      <c r="B6" s="8" t="s">
        <v>44</v>
      </c>
      <c r="C6" s="7" t="s">
        <v>8</v>
      </c>
      <c r="D6" s="7" t="s">
        <v>17</v>
      </c>
      <c r="E6" s="7" t="s">
        <v>17</v>
      </c>
      <c r="F6" s="7" t="s">
        <v>156</v>
      </c>
      <c r="G6" s="7" t="s">
        <v>8</v>
      </c>
      <c r="H6" s="7" t="s">
        <v>152</v>
      </c>
      <c r="J6" s="7" t="s">
        <v>86</v>
      </c>
      <c r="K6" s="8" t="s">
        <v>71</v>
      </c>
      <c r="L6" s="9" t="s">
        <v>57</v>
      </c>
    </row>
    <row r="7" spans="1:12" x14ac:dyDescent="0.3">
      <c r="A7" s="8">
        <v>81</v>
      </c>
      <c r="B7" s="8" t="s">
        <v>45</v>
      </c>
      <c r="C7" s="7" t="s">
        <v>7</v>
      </c>
      <c r="D7" s="7" t="s">
        <v>21</v>
      </c>
      <c r="E7" s="7" t="s">
        <v>146</v>
      </c>
      <c r="F7" s="7" t="s">
        <v>155</v>
      </c>
      <c r="G7" s="7" t="s">
        <v>341</v>
      </c>
      <c r="H7" s="7" t="s">
        <v>151</v>
      </c>
      <c r="J7" s="7" t="s">
        <v>85</v>
      </c>
      <c r="K7" s="8" t="s">
        <v>72</v>
      </c>
      <c r="L7" s="9" t="s">
        <v>55</v>
      </c>
    </row>
    <row r="8" spans="1:12" x14ac:dyDescent="0.3">
      <c r="A8" s="7">
        <v>521</v>
      </c>
      <c r="B8" s="8" t="s">
        <v>47</v>
      </c>
      <c r="C8" s="7" t="s">
        <v>9</v>
      </c>
      <c r="D8" s="7" t="s">
        <v>18</v>
      </c>
      <c r="E8" s="7" t="s">
        <v>181</v>
      </c>
      <c r="F8" s="7" t="s">
        <v>184</v>
      </c>
      <c r="G8" s="7" t="s">
        <v>342</v>
      </c>
      <c r="H8" s="7" t="s">
        <v>151</v>
      </c>
      <c r="I8" s="7" t="s">
        <v>173</v>
      </c>
      <c r="J8" s="7" t="s">
        <v>79</v>
      </c>
      <c r="K8" s="10" t="s">
        <v>61</v>
      </c>
    </row>
    <row r="9" spans="1:12" x14ac:dyDescent="0.3">
      <c r="A9" s="7">
        <v>511</v>
      </c>
      <c r="B9" s="8" t="s">
        <v>46</v>
      </c>
      <c r="C9" s="7" t="s">
        <v>10</v>
      </c>
      <c r="D9" s="7" t="s">
        <v>22</v>
      </c>
      <c r="E9" s="7" t="s">
        <v>182</v>
      </c>
      <c r="F9" s="7" t="s">
        <v>10</v>
      </c>
      <c r="G9" s="7" t="s">
        <v>10</v>
      </c>
      <c r="H9" s="7" t="s">
        <v>151</v>
      </c>
      <c r="I9" s="7" t="s">
        <v>174</v>
      </c>
      <c r="J9" s="7" t="s">
        <v>80</v>
      </c>
      <c r="K9" s="10" t="s">
        <v>60</v>
      </c>
      <c r="L9" s="9" t="s">
        <v>58</v>
      </c>
    </row>
    <row r="10" spans="1:12" x14ac:dyDescent="0.3">
      <c r="A10" s="7">
        <v>541</v>
      </c>
      <c r="B10" s="8" t="s">
        <v>48</v>
      </c>
      <c r="C10" s="7" t="s">
        <v>11</v>
      </c>
      <c r="D10" s="7" t="s">
        <v>19</v>
      </c>
      <c r="E10" s="7" t="s">
        <v>19</v>
      </c>
      <c r="F10" s="7" t="s">
        <v>185</v>
      </c>
      <c r="G10" s="7" t="s">
        <v>342</v>
      </c>
      <c r="H10" s="7" t="s">
        <v>151</v>
      </c>
      <c r="I10" s="7" t="s">
        <v>175</v>
      </c>
      <c r="J10" s="7" t="s">
        <v>81</v>
      </c>
      <c r="K10" s="10" t="s">
        <v>66</v>
      </c>
    </row>
    <row r="11" spans="1:12" x14ac:dyDescent="0.3">
      <c r="A11" s="7">
        <v>581</v>
      </c>
      <c r="B11" s="8" t="s">
        <v>49</v>
      </c>
      <c r="C11" s="7" t="s">
        <v>12</v>
      </c>
      <c r="D11" s="7" t="s">
        <v>20</v>
      </c>
      <c r="E11" s="7" t="s">
        <v>179</v>
      </c>
      <c r="F11" s="7" t="s">
        <v>12</v>
      </c>
      <c r="G11" s="7" t="s">
        <v>12</v>
      </c>
      <c r="H11" s="7" t="s">
        <v>151</v>
      </c>
      <c r="I11" s="7" t="s">
        <v>176</v>
      </c>
      <c r="J11" s="7" t="s">
        <v>82</v>
      </c>
      <c r="K11" s="10" t="s">
        <v>62</v>
      </c>
    </row>
    <row r="12" spans="1:12" x14ac:dyDescent="0.3">
      <c r="A12" s="7">
        <v>582</v>
      </c>
      <c r="B12" s="8" t="s">
        <v>49</v>
      </c>
      <c r="C12" s="7" t="s">
        <v>12</v>
      </c>
      <c r="D12" s="7" t="s">
        <v>20</v>
      </c>
      <c r="E12" s="7" t="s">
        <v>179</v>
      </c>
      <c r="F12" s="7" t="s">
        <v>12</v>
      </c>
      <c r="G12" s="7" t="s">
        <v>12</v>
      </c>
      <c r="H12" s="7" t="s">
        <v>151</v>
      </c>
      <c r="I12" s="7" t="s">
        <v>176</v>
      </c>
      <c r="J12" s="7" t="s">
        <v>82</v>
      </c>
      <c r="K12" s="10" t="s">
        <v>62</v>
      </c>
    </row>
    <row r="13" spans="1:12" x14ac:dyDescent="0.3">
      <c r="A13" s="7">
        <v>531</v>
      </c>
      <c r="B13" s="8" t="s">
        <v>50</v>
      </c>
      <c r="C13" s="7" t="s">
        <v>13</v>
      </c>
      <c r="D13" s="7" t="s">
        <v>23</v>
      </c>
      <c r="E13" s="7" t="s">
        <v>180</v>
      </c>
      <c r="F13" s="7" t="s">
        <v>13</v>
      </c>
      <c r="G13" s="7" t="s">
        <v>13</v>
      </c>
      <c r="H13" s="7" t="s">
        <v>151</v>
      </c>
      <c r="I13" s="7" t="s">
        <v>23</v>
      </c>
      <c r="J13" s="7" t="s">
        <v>83</v>
      </c>
      <c r="K13" s="10" t="s">
        <v>63</v>
      </c>
    </row>
    <row r="14" spans="1:12" x14ac:dyDescent="0.3">
      <c r="A14" s="7">
        <v>741</v>
      </c>
      <c r="B14" s="8" t="s">
        <v>51</v>
      </c>
      <c r="C14" s="7" t="s">
        <v>14</v>
      </c>
      <c r="D14" s="7" t="s">
        <v>24</v>
      </c>
      <c r="E14" s="7" t="s">
        <v>24</v>
      </c>
      <c r="F14" s="7" t="s">
        <v>186</v>
      </c>
      <c r="G14" s="7" t="s">
        <v>14</v>
      </c>
      <c r="I14" s="7" t="s">
        <v>177</v>
      </c>
      <c r="J14" s="7" t="s">
        <v>187</v>
      </c>
      <c r="K14" s="10" t="s">
        <v>64</v>
      </c>
    </row>
    <row r="15" spans="1:12" x14ac:dyDescent="0.3">
      <c r="A15" s="7">
        <v>601</v>
      </c>
      <c r="B15" s="8" t="s">
        <v>52</v>
      </c>
      <c r="C15" s="7" t="s">
        <v>15</v>
      </c>
      <c r="D15" s="7" t="s">
        <v>25</v>
      </c>
      <c r="E15" s="7" t="s">
        <v>183</v>
      </c>
      <c r="F15" s="7" t="s">
        <v>15</v>
      </c>
      <c r="G15" s="7" t="s">
        <v>15</v>
      </c>
      <c r="H15" s="7" t="s">
        <v>188</v>
      </c>
      <c r="I15" s="7" t="s">
        <v>178</v>
      </c>
      <c r="J15" s="7" t="s">
        <v>84</v>
      </c>
      <c r="K15" s="10" t="s">
        <v>65</v>
      </c>
    </row>
    <row r="16" spans="1:12" x14ac:dyDescent="0.3">
      <c r="A16" s="7">
        <v>241</v>
      </c>
      <c r="B16" s="8" t="s">
        <v>53</v>
      </c>
      <c r="C16" s="7" t="s">
        <v>7</v>
      </c>
      <c r="D16" s="7" t="s">
        <v>30</v>
      </c>
      <c r="E16" s="7" t="s">
        <v>147</v>
      </c>
      <c r="F16" s="7" t="s">
        <v>155</v>
      </c>
      <c r="G16" s="7" t="s">
        <v>341</v>
      </c>
      <c r="H16" s="7" t="s">
        <v>153</v>
      </c>
      <c r="J16" s="7" t="s">
        <v>90</v>
      </c>
      <c r="K16" s="8" t="s">
        <v>73</v>
      </c>
      <c r="L16" s="9" t="s">
        <v>55</v>
      </c>
    </row>
    <row r="17" spans="1:12" x14ac:dyDescent="0.3">
      <c r="A17" s="7">
        <v>243</v>
      </c>
      <c r="B17" s="8" t="s">
        <v>53</v>
      </c>
      <c r="C17" s="7" t="s">
        <v>7</v>
      </c>
      <c r="D17" s="7" t="s">
        <v>30</v>
      </c>
      <c r="E17" s="7" t="s">
        <v>147</v>
      </c>
      <c r="F17" s="7" t="s">
        <v>155</v>
      </c>
      <c r="G17" s="7" t="s">
        <v>341</v>
      </c>
      <c r="H17" s="7" t="s">
        <v>153</v>
      </c>
      <c r="J17" s="7" t="s">
        <v>90</v>
      </c>
      <c r="K17" s="8" t="s">
        <v>73</v>
      </c>
      <c r="L17" s="9" t="s">
        <v>55</v>
      </c>
    </row>
    <row r="18" spans="1:12" x14ac:dyDescent="0.3">
      <c r="A18" s="7">
        <v>242</v>
      </c>
      <c r="B18" s="8" t="s">
        <v>54</v>
      </c>
      <c r="C18" s="7" t="s">
        <v>7</v>
      </c>
      <c r="D18" s="7" t="s">
        <v>32</v>
      </c>
      <c r="E18" s="7" t="s">
        <v>148</v>
      </c>
      <c r="F18" s="7" t="s">
        <v>155</v>
      </c>
      <c r="G18" s="7" t="s">
        <v>341</v>
      </c>
      <c r="H18" s="7" t="s">
        <v>153</v>
      </c>
      <c r="J18" s="7" t="s">
        <v>91</v>
      </c>
      <c r="K18" s="8" t="s">
        <v>74</v>
      </c>
      <c r="L18" s="9" t="s">
        <v>55</v>
      </c>
    </row>
    <row r="19" spans="1:12" x14ac:dyDescent="0.3">
      <c r="A19" s="7">
        <v>393</v>
      </c>
      <c r="B19" s="8" t="s">
        <v>54</v>
      </c>
      <c r="C19" s="7" t="s">
        <v>7</v>
      </c>
      <c r="D19" s="7" t="s">
        <v>32</v>
      </c>
      <c r="E19" s="7" t="s">
        <v>148</v>
      </c>
      <c r="F19" s="7" t="s">
        <v>155</v>
      </c>
      <c r="G19" s="7" t="s">
        <v>341</v>
      </c>
      <c r="H19" s="7" t="s">
        <v>153</v>
      </c>
      <c r="J19" s="7" t="s">
        <v>91</v>
      </c>
      <c r="K19" s="8" t="s">
        <v>74</v>
      </c>
      <c r="L19" s="9" t="s">
        <v>55</v>
      </c>
    </row>
  </sheetData>
  <phoneticPr fontId="19" type="noConversion"/>
  <hyperlinks>
    <hyperlink ref="L2" r:id="rId1" xr:uid="{00000000-0004-0000-0100-000000000000}"/>
    <hyperlink ref="L3" r:id="rId2" xr:uid="{00000000-0004-0000-0100-000001000000}"/>
    <hyperlink ref="L4" r:id="rId3" xr:uid="{00000000-0004-0000-0100-000002000000}"/>
    <hyperlink ref="L5" r:id="rId4" xr:uid="{00000000-0004-0000-0100-000003000000}"/>
    <hyperlink ref="L7" r:id="rId5" xr:uid="{00000000-0004-0000-0100-000004000000}"/>
    <hyperlink ref="L16" r:id="rId6" xr:uid="{00000000-0004-0000-0100-000005000000}"/>
    <hyperlink ref="L17" r:id="rId7" xr:uid="{00000000-0004-0000-0100-000006000000}"/>
    <hyperlink ref="L18" r:id="rId8" xr:uid="{00000000-0004-0000-0100-000007000000}"/>
    <hyperlink ref="L19" r:id="rId9" xr:uid="{00000000-0004-0000-0100-000008000000}"/>
    <hyperlink ref="L6" r:id="rId10" xr:uid="{00000000-0004-0000-0100-000009000000}"/>
    <hyperlink ref="L9" r:id="rId11" xr:uid="{00000000-0004-0000-0100-00000A000000}"/>
    <hyperlink ref="K9" r:id="rId12" xr:uid="{00000000-0004-0000-0100-00000B000000}"/>
    <hyperlink ref="K10" r:id="rId13" xr:uid="{00000000-0004-0000-0100-00000C000000}"/>
    <hyperlink ref="K11" r:id="rId14" xr:uid="{00000000-0004-0000-0100-00000D000000}"/>
    <hyperlink ref="K13" r:id="rId15" xr:uid="{00000000-0004-0000-0100-00000E000000}"/>
    <hyperlink ref="K14" r:id="rId16" xr:uid="{00000000-0004-0000-0100-00000F000000}"/>
    <hyperlink ref="K15" r:id="rId17" xr:uid="{00000000-0004-0000-0100-000010000000}"/>
    <hyperlink ref="K8" r:id="rId18" xr:uid="{00000000-0004-0000-0100-000012000000}"/>
    <hyperlink ref="K12" r:id="rId19" xr:uid="{705DC702-8A7C-4D7B-9D66-E1CDB8CAB8EC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7"/>
  <sheetViews>
    <sheetView zoomScale="90" zoomScaleNormal="90" workbookViewId="0">
      <selection activeCell="A8" sqref="A8"/>
    </sheetView>
  </sheetViews>
  <sheetFormatPr baseColWidth="10" defaultRowHeight="15.6" x14ac:dyDescent="0.3"/>
  <cols>
    <col min="1" max="1" width="12.5" bestFit="1" customWidth="1"/>
    <col min="2" max="2" width="7.59765625" customWidth="1"/>
    <col min="3" max="3" width="17.69921875" bestFit="1" customWidth="1"/>
    <col min="4" max="4" width="24.296875" bestFit="1" customWidth="1"/>
    <col min="5" max="5" width="12.69921875" bestFit="1" customWidth="1"/>
    <col min="6" max="6" width="12.69921875" customWidth="1"/>
    <col min="7" max="7" width="15.796875" bestFit="1" customWidth="1"/>
    <col min="8" max="8" width="18" bestFit="1" customWidth="1"/>
    <col min="9" max="9" width="24" bestFit="1" customWidth="1"/>
    <col min="10" max="10" width="29.796875" bestFit="1" customWidth="1"/>
    <col min="11" max="11" width="10" bestFit="1" customWidth="1"/>
    <col min="12" max="12" width="9" bestFit="1" customWidth="1"/>
    <col min="14" max="14" width="10.5" customWidth="1"/>
    <col min="15" max="15" width="76.59765625" bestFit="1" customWidth="1"/>
    <col min="16" max="16" width="89.796875" bestFit="1" customWidth="1"/>
  </cols>
  <sheetData>
    <row r="1" spans="1:16" x14ac:dyDescent="0.3">
      <c r="A1" t="s">
        <v>129</v>
      </c>
      <c r="B1" t="s">
        <v>120</v>
      </c>
      <c r="C1" t="s">
        <v>170</v>
      </c>
      <c r="D1" t="s">
        <v>171</v>
      </c>
      <c r="E1" t="s">
        <v>136</v>
      </c>
      <c r="F1" t="s">
        <v>157</v>
      </c>
      <c r="G1" t="s">
        <v>121</v>
      </c>
      <c r="H1" t="s">
        <v>122</v>
      </c>
      <c r="I1" t="s">
        <v>158</v>
      </c>
      <c r="J1" t="s">
        <v>123</v>
      </c>
      <c r="K1" t="s">
        <v>124</v>
      </c>
      <c r="L1" t="s">
        <v>125</v>
      </c>
      <c r="M1" t="s">
        <v>126</v>
      </c>
      <c r="N1" t="s">
        <v>127</v>
      </c>
      <c r="O1" t="s">
        <v>159</v>
      </c>
      <c r="P1" t="s">
        <v>128</v>
      </c>
    </row>
    <row r="2" spans="1:16" x14ac:dyDescent="0.3">
      <c r="A2" t="s">
        <v>130</v>
      </c>
      <c r="B2">
        <v>940</v>
      </c>
      <c r="C2" t="s">
        <v>139</v>
      </c>
      <c r="D2" t="s">
        <v>160</v>
      </c>
      <c r="E2" t="s">
        <v>93</v>
      </c>
      <c r="F2" t="s">
        <v>94</v>
      </c>
      <c r="G2" t="s">
        <v>163</v>
      </c>
      <c r="H2" t="s">
        <v>95</v>
      </c>
      <c r="I2" t="s">
        <v>96</v>
      </c>
      <c r="J2" t="s">
        <v>96</v>
      </c>
      <c r="K2" s="6">
        <v>42.497132999999998</v>
      </c>
      <c r="L2" s="6">
        <v>1.500985</v>
      </c>
      <c r="M2" t="s">
        <v>97</v>
      </c>
      <c r="N2" t="s">
        <v>98</v>
      </c>
      <c r="O2" t="s">
        <v>99</v>
      </c>
      <c r="P2" t="s">
        <v>167</v>
      </c>
    </row>
    <row r="3" spans="1:16" x14ac:dyDescent="0.3">
      <c r="A3" t="s">
        <v>131</v>
      </c>
      <c r="B3">
        <v>943</v>
      </c>
      <c r="C3" t="s">
        <v>140</v>
      </c>
      <c r="D3" t="s">
        <v>161</v>
      </c>
      <c r="E3" t="s">
        <v>100</v>
      </c>
      <c r="F3" t="s">
        <v>101</v>
      </c>
      <c r="G3" t="s">
        <v>165</v>
      </c>
      <c r="H3" t="s">
        <v>95</v>
      </c>
      <c r="I3" t="s">
        <v>102</v>
      </c>
      <c r="J3" t="s">
        <v>161</v>
      </c>
      <c r="K3" s="6">
        <v>42.504921000000003</v>
      </c>
      <c r="L3" s="6">
        <v>1.5221279999999999</v>
      </c>
      <c r="M3" t="s">
        <v>103</v>
      </c>
      <c r="N3" t="s">
        <v>98</v>
      </c>
      <c r="O3" t="s">
        <v>104</v>
      </c>
      <c r="P3" t="s">
        <v>168</v>
      </c>
    </row>
    <row r="4" spans="1:16" x14ac:dyDescent="0.3">
      <c r="A4" t="s">
        <v>132</v>
      </c>
      <c r="B4">
        <v>942</v>
      </c>
      <c r="C4" t="s">
        <v>137</v>
      </c>
      <c r="D4" t="s">
        <v>137</v>
      </c>
      <c r="E4" t="s">
        <v>105</v>
      </c>
      <c r="F4" t="s">
        <v>94</v>
      </c>
      <c r="G4" t="s">
        <v>163</v>
      </c>
      <c r="H4" t="s">
        <v>106</v>
      </c>
      <c r="I4" t="s">
        <v>107</v>
      </c>
      <c r="J4" t="s">
        <v>107</v>
      </c>
      <c r="K4" s="6">
        <v>42.509694000000003</v>
      </c>
      <c r="L4" s="6">
        <v>1.5391379999999999</v>
      </c>
      <c r="M4" t="s">
        <v>108</v>
      </c>
      <c r="N4" t="s">
        <v>109</v>
      </c>
    </row>
    <row r="5" spans="1:16" x14ac:dyDescent="0.3">
      <c r="A5" t="s">
        <v>133</v>
      </c>
      <c r="B5">
        <v>944</v>
      </c>
      <c r="C5" t="s">
        <v>138</v>
      </c>
      <c r="D5" t="s">
        <v>138</v>
      </c>
      <c r="E5" t="s">
        <v>110</v>
      </c>
      <c r="F5" t="s">
        <v>111</v>
      </c>
      <c r="G5" t="s">
        <v>111</v>
      </c>
      <c r="H5" t="s">
        <v>106</v>
      </c>
      <c r="I5" t="s">
        <v>112</v>
      </c>
      <c r="J5" t="s">
        <v>112</v>
      </c>
      <c r="K5" s="6">
        <v>42.516944000000002</v>
      </c>
      <c r="L5" s="6">
        <v>1.56525</v>
      </c>
      <c r="M5" t="s">
        <v>113</v>
      </c>
      <c r="N5" t="s">
        <v>109</v>
      </c>
    </row>
    <row r="6" spans="1:16" x14ac:dyDescent="0.3">
      <c r="A6" t="s">
        <v>134</v>
      </c>
      <c r="B6">
        <v>941</v>
      </c>
      <c r="C6" t="s">
        <v>114</v>
      </c>
      <c r="D6" t="s">
        <v>162</v>
      </c>
      <c r="E6" t="s">
        <v>114</v>
      </c>
      <c r="F6" t="s">
        <v>115</v>
      </c>
      <c r="G6" t="s">
        <v>164</v>
      </c>
      <c r="H6" t="s">
        <v>116</v>
      </c>
      <c r="I6" t="s">
        <v>117</v>
      </c>
      <c r="J6" t="s">
        <v>166</v>
      </c>
      <c r="K6" s="6"/>
      <c r="L6" s="6"/>
      <c r="M6" t="s">
        <v>118</v>
      </c>
      <c r="N6" s="5" t="s">
        <v>98</v>
      </c>
      <c r="O6" t="s">
        <v>119</v>
      </c>
      <c r="P6" t="s">
        <v>169</v>
      </c>
    </row>
    <row r="7" spans="1:16" x14ac:dyDescent="0.3">
      <c r="A7" t="s">
        <v>135</v>
      </c>
      <c r="B7">
        <v>945</v>
      </c>
      <c r="C7" t="s">
        <v>202</v>
      </c>
      <c r="D7" t="s">
        <v>199</v>
      </c>
      <c r="E7" t="s">
        <v>141</v>
      </c>
      <c r="F7" t="s">
        <v>111</v>
      </c>
      <c r="G7" t="s">
        <v>111</v>
      </c>
      <c r="H7" t="s">
        <v>142</v>
      </c>
      <c r="I7" t="s">
        <v>201</v>
      </c>
      <c r="J7" t="s">
        <v>200</v>
      </c>
      <c r="K7" s="6"/>
      <c r="L7" s="6"/>
      <c r="M7" s="5">
        <v>2515</v>
      </c>
      <c r="N7" t="s">
        <v>109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DAF17D-9DD9-4234-AC72-FEA774BE27E2}">
  <dimension ref="A1:D7"/>
  <sheetViews>
    <sheetView workbookViewId="0">
      <selection activeCell="F9" sqref="F9"/>
    </sheetView>
  </sheetViews>
  <sheetFormatPr baseColWidth="10" defaultRowHeight="15.6" x14ac:dyDescent="0.3"/>
  <cols>
    <col min="3" max="3" width="16.5" bestFit="1" customWidth="1"/>
  </cols>
  <sheetData>
    <row r="1" spans="1:4" x14ac:dyDescent="0.3">
      <c r="A1" t="s">
        <v>189</v>
      </c>
      <c r="B1" t="s">
        <v>192</v>
      </c>
      <c r="C1" t="s">
        <v>190</v>
      </c>
      <c r="D1" t="s">
        <v>191</v>
      </c>
    </row>
    <row r="2" spans="1:4" x14ac:dyDescent="0.3">
      <c r="A2">
        <v>1</v>
      </c>
      <c r="B2" t="s">
        <v>193</v>
      </c>
      <c r="C2" t="s">
        <v>198</v>
      </c>
      <c r="D2" t="s">
        <v>251</v>
      </c>
    </row>
    <row r="3" spans="1:4" x14ac:dyDescent="0.3">
      <c r="A3">
        <v>2</v>
      </c>
      <c r="B3" t="s">
        <v>194</v>
      </c>
      <c r="C3" t="s">
        <v>194</v>
      </c>
      <c r="D3" t="s">
        <v>247</v>
      </c>
    </row>
    <row r="4" spans="1:4" x14ac:dyDescent="0.3">
      <c r="A4">
        <v>3</v>
      </c>
      <c r="B4" t="s">
        <v>195</v>
      </c>
      <c r="C4" t="s">
        <v>195</v>
      </c>
      <c r="D4" t="s">
        <v>248</v>
      </c>
    </row>
    <row r="5" spans="1:4" x14ac:dyDescent="0.3">
      <c r="A5">
        <v>4</v>
      </c>
      <c r="B5" t="s">
        <v>196</v>
      </c>
      <c r="C5" t="s">
        <v>196</v>
      </c>
      <c r="D5" t="s">
        <v>249</v>
      </c>
    </row>
    <row r="6" spans="1:4" x14ac:dyDescent="0.3">
      <c r="A6">
        <v>5</v>
      </c>
      <c r="B6" t="s">
        <v>197</v>
      </c>
      <c r="C6" t="s">
        <v>197</v>
      </c>
      <c r="D6" t="s">
        <v>250</v>
      </c>
    </row>
    <row r="7" spans="1:4" x14ac:dyDescent="0.3">
      <c r="A7">
        <v>6</v>
      </c>
      <c r="B7" t="s">
        <v>313</v>
      </c>
      <c r="C7" t="s">
        <v>313</v>
      </c>
      <c r="D7" t="s">
        <v>316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257F54-22B9-4893-B156-43F40B3ADA22}">
  <dimension ref="A1:N19"/>
  <sheetViews>
    <sheetView zoomScale="80" zoomScaleNormal="80" workbookViewId="0">
      <selection activeCell="G2" sqref="G2"/>
    </sheetView>
  </sheetViews>
  <sheetFormatPr baseColWidth="10" defaultRowHeight="15.6" x14ac:dyDescent="0.3"/>
  <cols>
    <col min="1" max="1" width="10.5" style="7" bestFit="1" customWidth="1"/>
    <col min="2" max="2" width="10.5" style="7" customWidth="1"/>
    <col min="3" max="4" width="11.19921875" style="7"/>
    <col min="5" max="5" width="17" style="7" bestFit="1" customWidth="1"/>
    <col min="6" max="6" width="22.796875" style="7" bestFit="1" customWidth="1"/>
    <col min="7" max="7" width="17" style="7" customWidth="1"/>
    <col min="8" max="8" width="29.09765625" style="7" bestFit="1" customWidth="1"/>
    <col min="9" max="9" width="16.8984375" style="7" bestFit="1" customWidth="1"/>
    <col min="10" max="10" width="18.09765625" style="7" bestFit="1" customWidth="1"/>
    <col min="11" max="11" width="15.8984375" style="7" customWidth="1"/>
    <col min="12" max="12" width="19.3984375" style="7" bestFit="1" customWidth="1"/>
    <col min="13" max="13" width="54.296875" style="7" bestFit="1" customWidth="1"/>
    <col min="14" max="14" width="57.796875" style="7" bestFit="1" customWidth="1"/>
    <col min="15" max="16384" width="11.19921875" style="7"/>
  </cols>
  <sheetData>
    <row r="1" spans="1:14" x14ac:dyDescent="0.3">
      <c r="A1" s="7" t="s">
        <v>5</v>
      </c>
      <c r="B1" s="7" t="s">
        <v>255</v>
      </c>
      <c r="C1" s="7" t="s">
        <v>75</v>
      </c>
      <c r="D1" s="7" t="s">
        <v>78</v>
      </c>
      <c r="E1" s="7" t="s">
        <v>77</v>
      </c>
      <c r="F1" s="7" t="s">
        <v>154</v>
      </c>
      <c r="G1" s="7" t="s">
        <v>340</v>
      </c>
      <c r="H1" s="7" t="s">
        <v>234</v>
      </c>
      <c r="I1" s="7" t="s">
        <v>224</v>
      </c>
      <c r="J1" s="7" t="s">
        <v>225</v>
      </c>
      <c r="K1" s="7" t="s">
        <v>172</v>
      </c>
      <c r="L1" s="7" t="s">
        <v>149</v>
      </c>
      <c r="M1" s="7" t="s">
        <v>59</v>
      </c>
      <c r="N1" s="7" t="s">
        <v>56</v>
      </c>
    </row>
    <row r="2" spans="1:14" x14ac:dyDescent="0.3">
      <c r="A2" s="8">
        <v>11</v>
      </c>
      <c r="B2" s="8" t="s">
        <v>40</v>
      </c>
      <c r="C2" s="7" t="s">
        <v>7</v>
      </c>
      <c r="D2" s="7" t="s">
        <v>26</v>
      </c>
      <c r="E2" s="7" t="s">
        <v>143</v>
      </c>
      <c r="F2" s="7" t="s">
        <v>155</v>
      </c>
      <c r="G2" s="7" t="s">
        <v>341</v>
      </c>
      <c r="H2" s="7" t="s">
        <v>151</v>
      </c>
      <c r="I2" s="7" t="s">
        <v>226</v>
      </c>
      <c r="J2" s="7" t="s">
        <v>230</v>
      </c>
      <c r="L2" s="7" t="s">
        <v>89</v>
      </c>
      <c r="M2" s="8" t="s">
        <v>67</v>
      </c>
      <c r="N2" s="9" t="s">
        <v>55</v>
      </c>
    </row>
    <row r="3" spans="1:14" x14ac:dyDescent="0.3">
      <c r="A3" s="8">
        <v>21</v>
      </c>
      <c r="B3" s="8" t="s">
        <v>41</v>
      </c>
      <c r="C3" s="7" t="s">
        <v>7</v>
      </c>
      <c r="D3" s="7" t="s">
        <v>27</v>
      </c>
      <c r="E3" s="7" t="s">
        <v>27</v>
      </c>
      <c r="F3" s="7" t="s">
        <v>155</v>
      </c>
      <c r="G3" s="7" t="s">
        <v>341</v>
      </c>
      <c r="H3" s="7" t="s">
        <v>151</v>
      </c>
      <c r="I3" s="7" t="s">
        <v>226</v>
      </c>
      <c r="J3" s="7" t="s">
        <v>230</v>
      </c>
      <c r="L3" s="7" t="s">
        <v>87</v>
      </c>
      <c r="M3" s="8" t="s">
        <v>68</v>
      </c>
      <c r="N3" s="9" t="s">
        <v>55</v>
      </c>
    </row>
    <row r="4" spans="1:14" x14ac:dyDescent="0.3">
      <c r="A4" s="8">
        <v>31</v>
      </c>
      <c r="B4" s="8" t="s">
        <v>42</v>
      </c>
      <c r="C4" s="7" t="s">
        <v>7</v>
      </c>
      <c r="D4" s="7" t="s">
        <v>28</v>
      </c>
      <c r="E4" s="7" t="s">
        <v>311</v>
      </c>
      <c r="F4" s="7" t="s">
        <v>155</v>
      </c>
      <c r="G4" s="7" t="s">
        <v>341</v>
      </c>
      <c r="H4" s="7" t="s">
        <v>151</v>
      </c>
      <c r="I4" s="7" t="s">
        <v>226</v>
      </c>
      <c r="J4" s="7" t="s">
        <v>230</v>
      </c>
      <c r="L4" s="7" t="s">
        <v>88</v>
      </c>
      <c r="M4" s="8" t="s">
        <v>69</v>
      </c>
      <c r="N4" s="9" t="s">
        <v>55</v>
      </c>
    </row>
    <row r="5" spans="1:14" x14ac:dyDescent="0.3">
      <c r="A5" s="7">
        <v>121</v>
      </c>
      <c r="B5" s="8" t="s">
        <v>43</v>
      </c>
      <c r="C5" s="7" t="s">
        <v>7</v>
      </c>
      <c r="D5" s="7" t="s">
        <v>76</v>
      </c>
      <c r="E5" s="7" t="s">
        <v>145</v>
      </c>
      <c r="F5" s="7" t="s">
        <v>155</v>
      </c>
      <c r="G5" s="7" t="s">
        <v>341</v>
      </c>
      <c r="H5" s="7" t="s">
        <v>151</v>
      </c>
      <c r="I5" s="7" t="s">
        <v>226</v>
      </c>
      <c r="J5" s="7" t="s">
        <v>230</v>
      </c>
      <c r="L5" s="7" t="s">
        <v>92</v>
      </c>
      <c r="M5" s="8" t="s">
        <v>70</v>
      </c>
      <c r="N5" s="9" t="s">
        <v>55</v>
      </c>
    </row>
    <row r="6" spans="1:14" x14ac:dyDescent="0.3">
      <c r="A6" s="8">
        <v>41</v>
      </c>
      <c r="B6" s="8" t="s">
        <v>44</v>
      </c>
      <c r="C6" s="7" t="s">
        <v>8</v>
      </c>
      <c r="D6" s="7" t="s">
        <v>17</v>
      </c>
      <c r="E6" s="7" t="s">
        <v>17</v>
      </c>
      <c r="F6" s="7" t="s">
        <v>156</v>
      </c>
      <c r="G6" s="7" t="s">
        <v>8</v>
      </c>
      <c r="H6" s="7" t="s">
        <v>152</v>
      </c>
      <c r="I6" s="7" t="s">
        <v>227</v>
      </c>
      <c r="J6" s="7" t="s">
        <v>231</v>
      </c>
      <c r="L6" s="7" t="s">
        <v>86</v>
      </c>
      <c r="M6" s="8" t="s">
        <v>71</v>
      </c>
      <c r="N6" s="9" t="s">
        <v>57</v>
      </c>
    </row>
    <row r="7" spans="1:14" x14ac:dyDescent="0.3">
      <c r="A7" s="8">
        <v>81</v>
      </c>
      <c r="B7" s="8" t="s">
        <v>45</v>
      </c>
      <c r="C7" s="7" t="s">
        <v>7</v>
      </c>
      <c r="D7" s="7" t="s">
        <v>21</v>
      </c>
      <c r="E7" s="7" t="s">
        <v>146</v>
      </c>
      <c r="F7" s="7" t="s">
        <v>155</v>
      </c>
      <c r="G7" s="7" t="s">
        <v>341</v>
      </c>
      <c r="H7" s="7" t="s">
        <v>151</v>
      </c>
      <c r="I7" s="7" t="s">
        <v>226</v>
      </c>
      <c r="J7" s="7" t="s">
        <v>230</v>
      </c>
      <c r="L7" s="7" t="s">
        <v>85</v>
      </c>
      <c r="M7" s="8" t="s">
        <v>72</v>
      </c>
      <c r="N7" s="9" t="s">
        <v>55</v>
      </c>
    </row>
    <row r="8" spans="1:14" x14ac:dyDescent="0.3">
      <c r="A8" s="7">
        <v>521</v>
      </c>
      <c r="B8" s="8" t="s">
        <v>47</v>
      </c>
      <c r="C8" s="7" t="s">
        <v>9</v>
      </c>
      <c r="D8" s="7" t="s">
        <v>18</v>
      </c>
      <c r="E8" s="7" t="s">
        <v>181</v>
      </c>
      <c r="F8" s="7" t="s">
        <v>184</v>
      </c>
      <c r="G8" s="7" t="s">
        <v>342</v>
      </c>
      <c r="H8" s="7" t="s">
        <v>151</v>
      </c>
      <c r="I8" s="7" t="s">
        <v>226</v>
      </c>
      <c r="J8" s="7" t="s">
        <v>230</v>
      </c>
      <c r="K8" s="7" t="s">
        <v>173</v>
      </c>
      <c r="L8" s="7" t="s">
        <v>79</v>
      </c>
      <c r="M8" s="10" t="s">
        <v>61</v>
      </c>
    </row>
    <row r="9" spans="1:14" x14ac:dyDescent="0.3">
      <c r="A9" s="7">
        <v>511</v>
      </c>
      <c r="B9" s="8" t="s">
        <v>46</v>
      </c>
      <c r="C9" s="7" t="s">
        <v>10</v>
      </c>
      <c r="D9" s="7" t="s">
        <v>22</v>
      </c>
      <c r="E9" s="7" t="s">
        <v>182</v>
      </c>
      <c r="F9" s="7" t="s">
        <v>10</v>
      </c>
      <c r="G9" s="7" t="s">
        <v>10</v>
      </c>
      <c r="H9" s="7" t="s">
        <v>151</v>
      </c>
      <c r="I9" s="7" t="s">
        <v>226</v>
      </c>
      <c r="J9" s="7" t="s">
        <v>230</v>
      </c>
      <c r="K9" s="7" t="s">
        <v>174</v>
      </c>
      <c r="L9" s="7" t="s">
        <v>80</v>
      </c>
      <c r="M9" s="10" t="s">
        <v>60</v>
      </c>
      <c r="N9" s="9" t="s">
        <v>58</v>
      </c>
    </row>
    <row r="10" spans="1:14" x14ac:dyDescent="0.3">
      <c r="A10" s="7">
        <v>541</v>
      </c>
      <c r="B10" s="8" t="s">
        <v>48</v>
      </c>
      <c r="C10" s="7" t="s">
        <v>11</v>
      </c>
      <c r="D10" s="7" t="s">
        <v>19</v>
      </c>
      <c r="E10" s="7" t="s">
        <v>19</v>
      </c>
      <c r="F10" s="7" t="s">
        <v>185</v>
      </c>
      <c r="G10" s="7" t="s">
        <v>342</v>
      </c>
      <c r="H10" s="7" t="s">
        <v>151</v>
      </c>
      <c r="I10" s="7" t="s">
        <v>226</v>
      </c>
      <c r="J10" s="7" t="s">
        <v>230</v>
      </c>
      <c r="K10" s="7" t="s">
        <v>175</v>
      </c>
      <c r="L10" s="7" t="s">
        <v>81</v>
      </c>
      <c r="M10" s="10" t="s">
        <v>66</v>
      </c>
    </row>
    <row r="11" spans="1:14" x14ac:dyDescent="0.3">
      <c r="A11" s="7">
        <v>581</v>
      </c>
      <c r="B11" s="8" t="s">
        <v>49</v>
      </c>
      <c r="C11" s="7" t="s">
        <v>12</v>
      </c>
      <c r="D11" s="7" t="s">
        <v>20</v>
      </c>
      <c r="E11" s="7" t="s">
        <v>179</v>
      </c>
      <c r="F11" s="7" t="s">
        <v>12</v>
      </c>
      <c r="G11" s="7" t="s">
        <v>12</v>
      </c>
      <c r="H11" s="7" t="s">
        <v>151</v>
      </c>
      <c r="I11" s="7" t="s">
        <v>226</v>
      </c>
      <c r="J11" s="7" t="s">
        <v>230</v>
      </c>
      <c r="K11" s="7" t="s">
        <v>176</v>
      </c>
      <c r="L11" s="7" t="s">
        <v>82</v>
      </c>
      <c r="M11" s="10" t="s">
        <v>62</v>
      </c>
    </row>
    <row r="12" spans="1:14" x14ac:dyDescent="0.3">
      <c r="A12" s="7">
        <v>582</v>
      </c>
      <c r="B12" s="8" t="s">
        <v>49</v>
      </c>
      <c r="C12" s="7" t="s">
        <v>12</v>
      </c>
      <c r="D12" s="7" t="s">
        <v>20</v>
      </c>
      <c r="E12" s="7" t="s">
        <v>179</v>
      </c>
      <c r="F12" s="7" t="s">
        <v>12</v>
      </c>
      <c r="G12" s="7" t="s">
        <v>12</v>
      </c>
      <c r="H12" s="7" t="s">
        <v>151</v>
      </c>
      <c r="I12" s="7" t="s">
        <v>226</v>
      </c>
      <c r="J12" s="7" t="s">
        <v>230</v>
      </c>
      <c r="K12" s="7" t="s">
        <v>176</v>
      </c>
      <c r="L12" s="7" t="s">
        <v>82</v>
      </c>
      <c r="M12" s="10" t="s">
        <v>62</v>
      </c>
    </row>
    <row r="13" spans="1:14" x14ac:dyDescent="0.3">
      <c r="A13" s="7">
        <v>531</v>
      </c>
      <c r="B13" s="8" t="s">
        <v>50</v>
      </c>
      <c r="C13" s="7" t="s">
        <v>13</v>
      </c>
      <c r="D13" s="7" t="s">
        <v>23</v>
      </c>
      <c r="E13" s="7" t="s">
        <v>180</v>
      </c>
      <c r="F13" s="7" t="s">
        <v>13</v>
      </c>
      <c r="G13" s="7" t="s">
        <v>13</v>
      </c>
      <c r="H13" s="7" t="s">
        <v>151</v>
      </c>
      <c r="I13" s="7" t="s">
        <v>226</v>
      </c>
      <c r="J13" s="7" t="s">
        <v>230</v>
      </c>
      <c r="K13" s="7" t="s">
        <v>23</v>
      </c>
      <c r="L13" s="7" t="s">
        <v>83</v>
      </c>
      <c r="M13" s="10" t="s">
        <v>63</v>
      </c>
    </row>
    <row r="14" spans="1:14" x14ac:dyDescent="0.3">
      <c r="A14" s="7">
        <v>741</v>
      </c>
      <c r="B14" s="8" t="s">
        <v>51</v>
      </c>
      <c r="C14" s="7" t="s">
        <v>14</v>
      </c>
      <c r="D14" s="7" t="s">
        <v>307</v>
      </c>
      <c r="E14" s="7" t="s">
        <v>308</v>
      </c>
      <c r="F14" s="7" t="s">
        <v>186</v>
      </c>
      <c r="G14" s="7" t="s">
        <v>14</v>
      </c>
      <c r="H14" s="7" t="s">
        <v>151</v>
      </c>
      <c r="I14" s="7" t="s">
        <v>226</v>
      </c>
      <c r="J14" s="7" t="s">
        <v>230</v>
      </c>
      <c r="K14" s="7" t="s">
        <v>177</v>
      </c>
      <c r="L14" s="7" t="s">
        <v>309</v>
      </c>
      <c r="M14" s="11" t="s">
        <v>310</v>
      </c>
    </row>
    <row r="15" spans="1:14" x14ac:dyDescent="0.3">
      <c r="A15" s="7">
        <v>601</v>
      </c>
      <c r="B15" s="8" t="s">
        <v>52</v>
      </c>
      <c r="C15" s="7" t="s">
        <v>15</v>
      </c>
      <c r="D15" s="7" t="s">
        <v>25</v>
      </c>
      <c r="E15" s="7" t="s">
        <v>183</v>
      </c>
      <c r="F15" s="7" t="s">
        <v>15</v>
      </c>
      <c r="G15" s="7" t="s">
        <v>15</v>
      </c>
      <c r="H15" s="7" t="s">
        <v>188</v>
      </c>
      <c r="I15" s="7" t="s">
        <v>228</v>
      </c>
      <c r="J15" s="7" t="s">
        <v>233</v>
      </c>
      <c r="K15" s="7" t="s">
        <v>178</v>
      </c>
      <c r="L15" s="7" t="s">
        <v>84</v>
      </c>
      <c r="M15" s="10" t="s">
        <v>65</v>
      </c>
    </row>
    <row r="16" spans="1:14" x14ac:dyDescent="0.3">
      <c r="A16" s="7">
        <v>241</v>
      </c>
      <c r="B16" s="8" t="s">
        <v>53</v>
      </c>
      <c r="C16" s="7" t="s">
        <v>7</v>
      </c>
      <c r="D16" s="7" t="s">
        <v>30</v>
      </c>
      <c r="E16" s="7" t="s">
        <v>147</v>
      </c>
      <c r="F16" s="7" t="s">
        <v>155</v>
      </c>
      <c r="G16" s="7" t="s">
        <v>341</v>
      </c>
      <c r="H16" s="7" t="s">
        <v>153</v>
      </c>
      <c r="I16" s="7" t="s">
        <v>229</v>
      </c>
      <c r="J16" s="7" t="s">
        <v>232</v>
      </c>
      <c r="L16" s="7" t="s">
        <v>90</v>
      </c>
      <c r="M16" s="8" t="s">
        <v>73</v>
      </c>
      <c r="N16" s="9" t="s">
        <v>55</v>
      </c>
    </row>
    <row r="17" spans="1:14" x14ac:dyDescent="0.3">
      <c r="A17" s="7">
        <v>243</v>
      </c>
      <c r="B17" s="8" t="s">
        <v>53</v>
      </c>
      <c r="C17" s="7" t="s">
        <v>7</v>
      </c>
      <c r="D17" s="7" t="s">
        <v>30</v>
      </c>
      <c r="E17" s="7" t="s">
        <v>147</v>
      </c>
      <c r="F17" s="7" t="s">
        <v>155</v>
      </c>
      <c r="G17" s="7" t="s">
        <v>341</v>
      </c>
      <c r="H17" s="7" t="s">
        <v>153</v>
      </c>
      <c r="I17" s="7" t="s">
        <v>229</v>
      </c>
      <c r="J17" s="7" t="s">
        <v>232</v>
      </c>
      <c r="L17" s="7" t="s">
        <v>90</v>
      </c>
      <c r="M17" s="8" t="s">
        <v>73</v>
      </c>
      <c r="N17" s="9" t="s">
        <v>55</v>
      </c>
    </row>
    <row r="18" spans="1:14" x14ac:dyDescent="0.3">
      <c r="A18" s="7">
        <v>242</v>
      </c>
      <c r="B18" s="8" t="s">
        <v>54</v>
      </c>
      <c r="C18" s="7" t="s">
        <v>7</v>
      </c>
      <c r="D18" s="7" t="s">
        <v>32</v>
      </c>
      <c r="E18" s="7" t="s">
        <v>148</v>
      </c>
      <c r="F18" s="7" t="s">
        <v>155</v>
      </c>
      <c r="G18" s="7" t="s">
        <v>341</v>
      </c>
      <c r="H18" s="7" t="s">
        <v>153</v>
      </c>
      <c r="I18" s="7" t="s">
        <v>229</v>
      </c>
      <c r="J18" s="7" t="s">
        <v>232</v>
      </c>
      <c r="L18" s="7" t="s">
        <v>91</v>
      </c>
      <c r="M18" s="8" t="s">
        <v>74</v>
      </c>
      <c r="N18" s="9" t="s">
        <v>55</v>
      </c>
    </row>
    <row r="19" spans="1:14" x14ac:dyDescent="0.3">
      <c r="A19" s="7">
        <v>393</v>
      </c>
      <c r="B19" s="8" t="s">
        <v>54</v>
      </c>
      <c r="C19" s="7" t="s">
        <v>7</v>
      </c>
      <c r="D19" s="7" t="s">
        <v>32</v>
      </c>
      <c r="E19" s="7" t="s">
        <v>148</v>
      </c>
      <c r="F19" s="7" t="s">
        <v>155</v>
      </c>
      <c r="G19" s="7" t="s">
        <v>341</v>
      </c>
      <c r="H19" s="7" t="s">
        <v>153</v>
      </c>
      <c r="I19" s="7" t="s">
        <v>229</v>
      </c>
      <c r="J19" s="7" t="s">
        <v>232</v>
      </c>
      <c r="L19" s="7" t="s">
        <v>91</v>
      </c>
      <c r="M19" s="8" t="s">
        <v>74</v>
      </c>
      <c r="N19" s="9" t="s">
        <v>55</v>
      </c>
    </row>
  </sheetData>
  <hyperlinks>
    <hyperlink ref="N2" r:id="rId1" xr:uid="{49D4D413-1922-4213-8D80-6FDB4107D3FF}"/>
    <hyperlink ref="N3" r:id="rId2" xr:uid="{7B9B6B86-D363-46C1-9E52-2310EA2B5330}"/>
    <hyperlink ref="N4" r:id="rId3" xr:uid="{9BC8E8D5-65FA-405F-9E45-3793621473B7}"/>
    <hyperlink ref="N5" r:id="rId4" xr:uid="{BF62E654-31BC-487E-8C4E-0C56FD6F7472}"/>
    <hyperlink ref="N7" r:id="rId5" xr:uid="{D9D6CBA9-FA9C-4756-B297-2EF10792E349}"/>
    <hyperlink ref="N16" r:id="rId6" xr:uid="{615B3063-F8D9-4D1F-8FF3-3E55628A3CCC}"/>
    <hyperlink ref="N17" r:id="rId7" xr:uid="{A9255FEB-90D5-4F2E-8BB3-E3CF552CBC5F}"/>
    <hyperlink ref="N18" r:id="rId8" xr:uid="{5CBA5C31-9064-413C-8C25-E959B624CD86}"/>
    <hyperlink ref="N19" r:id="rId9" xr:uid="{3728D6C7-1A35-413B-A118-66E5CD10F912}"/>
    <hyperlink ref="N6" r:id="rId10" xr:uid="{381F44CD-D0A5-4593-9950-56F044874441}"/>
    <hyperlink ref="N9" r:id="rId11" xr:uid="{40F1F450-F886-4F8B-80C7-8512EB92E6F2}"/>
    <hyperlink ref="M9" r:id="rId12" xr:uid="{7EBB6F3D-C687-4730-87E5-DF9029F97BE7}"/>
    <hyperlink ref="M10" r:id="rId13" xr:uid="{7CAD32BE-A498-46AB-9BD5-084265E0CC6D}"/>
    <hyperlink ref="M11" r:id="rId14" xr:uid="{CFA54CC2-3E2E-4198-BB68-DA4221093FC6}"/>
    <hyperlink ref="M13" r:id="rId15" xr:uid="{EF4E3F03-7560-4B05-8F9A-D95008A878A7}"/>
    <hyperlink ref="M15" r:id="rId16" xr:uid="{6AD9560E-FFC6-4C2C-9925-E571B1D2A8F8}"/>
    <hyperlink ref="M8" r:id="rId17" xr:uid="{7262CD61-BFDE-403E-8B46-E84EBB17EA64}"/>
    <hyperlink ref="M12" r:id="rId18" xr:uid="{5AE2D3D0-D41B-41BD-B910-C0C822ED3BCC}"/>
    <hyperlink ref="M14" r:id="rId19" xr:uid="{9AD5D76D-D052-467B-A0D4-3EDA72F7192E}"/>
  </hyperlinks>
  <pageMargins left="0.7" right="0.7" top="0.75" bottom="0.75" header="0.3" footer="0.3"/>
  <pageSetup paperSize="9" orientation="portrait" r:id="rId2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B43402-A917-4470-841C-FA7C18CAC74E}">
  <dimension ref="A1:O2"/>
  <sheetViews>
    <sheetView tabSelected="1" workbookViewId="0">
      <selection activeCell="A3" sqref="A3"/>
    </sheetView>
  </sheetViews>
  <sheetFormatPr baseColWidth="10" defaultRowHeight="15.6" x14ac:dyDescent="0.3"/>
  <cols>
    <col min="2" max="2" width="11.19921875" customWidth="1"/>
    <col min="14" max="14" width="11.19921875" customWidth="1"/>
    <col min="15" max="15" width="9.8984375" customWidth="1"/>
  </cols>
  <sheetData>
    <row r="1" spans="1:15" x14ac:dyDescent="0.3">
      <c r="A1" t="s">
        <v>306</v>
      </c>
      <c r="B1" t="s">
        <v>259</v>
      </c>
      <c r="C1" t="s">
        <v>260</v>
      </c>
      <c r="D1" t="s">
        <v>300</v>
      </c>
      <c r="E1" t="s">
        <v>261</v>
      </c>
      <c r="F1" t="s">
        <v>302</v>
      </c>
      <c r="G1" t="s">
        <v>262</v>
      </c>
      <c r="H1" t="s">
        <v>263</v>
      </c>
      <c r="I1" t="s">
        <v>304</v>
      </c>
      <c r="J1" t="s">
        <v>264</v>
      </c>
      <c r="K1" t="s">
        <v>265</v>
      </c>
      <c r="L1" t="s">
        <v>266</v>
      </c>
      <c r="M1" t="s">
        <v>267</v>
      </c>
      <c r="N1" t="s">
        <v>268</v>
      </c>
      <c r="O1" t="s">
        <v>269</v>
      </c>
    </row>
    <row r="2" spans="1:15" x14ac:dyDescent="0.3">
      <c r="A2" s="11" t="s">
        <v>430</v>
      </c>
      <c r="B2" t="s">
        <v>428</v>
      </c>
      <c r="C2" t="s">
        <v>429</v>
      </c>
      <c r="D2" t="s">
        <v>301</v>
      </c>
      <c r="E2" t="s">
        <v>256</v>
      </c>
      <c r="F2" t="s">
        <v>303</v>
      </c>
      <c r="G2" t="s">
        <v>258</v>
      </c>
      <c r="H2" t="s">
        <v>257</v>
      </c>
      <c r="I2" t="s">
        <v>305</v>
      </c>
      <c r="J2" t="s">
        <v>320</v>
      </c>
      <c r="K2" t="s">
        <v>320</v>
      </c>
      <c r="L2" t="s">
        <v>320</v>
      </c>
      <c r="M2" t="s">
        <v>320</v>
      </c>
      <c r="N2" t="s">
        <v>320</v>
      </c>
      <c r="O2" t="s">
        <v>320</v>
      </c>
    </row>
  </sheetData>
  <hyperlinks>
    <hyperlink ref="A2" r:id="rId1" xr:uid="{6FB1A650-2E03-46B1-8DD1-89AFB43AE9B8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2F80AC-FA4F-425A-B04E-0A31370E0017}">
  <dimension ref="A1:H4"/>
  <sheetViews>
    <sheetView workbookViewId="0">
      <selection activeCell="C6" sqref="C6"/>
    </sheetView>
  </sheetViews>
  <sheetFormatPr baseColWidth="10" defaultRowHeight="15.6" x14ac:dyDescent="0.3"/>
  <cols>
    <col min="1" max="1" width="8.69921875" bestFit="1" customWidth="1"/>
    <col min="2" max="2" width="9" bestFit="1" customWidth="1"/>
    <col min="3" max="3" width="64.3984375" bestFit="1" customWidth="1"/>
    <col min="4" max="4" width="17.296875" bestFit="1" customWidth="1"/>
    <col min="5" max="5" width="11.296875" bestFit="1" customWidth="1"/>
    <col min="6" max="6" width="16.296875" bestFit="1" customWidth="1"/>
    <col min="8" max="8" width="16" bestFit="1" customWidth="1"/>
    <col min="10" max="10" width="11.19921875" customWidth="1"/>
    <col min="11" max="11" width="9.8984375" customWidth="1"/>
  </cols>
  <sheetData>
    <row r="1" spans="1:8" x14ac:dyDescent="0.3">
      <c r="A1" t="s">
        <v>271</v>
      </c>
      <c r="B1" t="s">
        <v>270</v>
      </c>
      <c r="C1" t="s">
        <v>272</v>
      </c>
      <c r="D1" t="s">
        <v>273</v>
      </c>
      <c r="E1" t="s">
        <v>274</v>
      </c>
      <c r="F1" t="s">
        <v>275</v>
      </c>
      <c r="G1" t="s">
        <v>276</v>
      </c>
      <c r="H1" t="s">
        <v>277</v>
      </c>
    </row>
    <row r="2" spans="1:8" x14ac:dyDescent="0.3">
      <c r="A2" t="s">
        <v>21</v>
      </c>
      <c r="B2">
        <v>180</v>
      </c>
      <c r="C2" t="s">
        <v>279</v>
      </c>
      <c r="D2" t="s">
        <v>281</v>
      </c>
      <c r="E2" t="s">
        <v>284</v>
      </c>
      <c r="F2" t="s">
        <v>285</v>
      </c>
      <c r="G2" t="s">
        <v>290</v>
      </c>
      <c r="H2" t="s">
        <v>292</v>
      </c>
    </row>
    <row r="3" spans="1:8" x14ac:dyDescent="0.3">
      <c r="A3" t="s">
        <v>21</v>
      </c>
      <c r="B3">
        <v>240</v>
      </c>
      <c r="C3" t="s">
        <v>278</v>
      </c>
      <c r="D3" t="s">
        <v>282</v>
      </c>
      <c r="E3" t="s">
        <v>286</v>
      </c>
      <c r="F3" t="s">
        <v>287</v>
      </c>
      <c r="G3" t="s">
        <v>291</v>
      </c>
      <c r="H3" t="s">
        <v>293</v>
      </c>
    </row>
    <row r="4" spans="1:8" x14ac:dyDescent="0.3">
      <c r="A4" t="s">
        <v>30</v>
      </c>
      <c r="B4">
        <v>50</v>
      </c>
      <c r="C4" t="s">
        <v>280</v>
      </c>
      <c r="D4" t="s">
        <v>283</v>
      </c>
      <c r="E4" t="s">
        <v>288</v>
      </c>
      <c r="F4" t="s">
        <v>289</v>
      </c>
      <c r="G4" t="s">
        <v>295</v>
      </c>
      <c r="H4" t="s">
        <v>294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03F572-7D31-490D-8998-6ABD4AF3B816}">
  <dimension ref="A1:Y20"/>
  <sheetViews>
    <sheetView zoomScale="90" zoomScaleNormal="90" workbookViewId="0">
      <selection activeCell="E7" sqref="E7"/>
    </sheetView>
  </sheetViews>
  <sheetFormatPr baseColWidth="10" defaultRowHeight="15.6" x14ac:dyDescent="0.3"/>
  <cols>
    <col min="1" max="1" width="12.5" bestFit="1" customWidth="1"/>
    <col min="2" max="2" width="7.59765625" customWidth="1"/>
    <col min="3" max="3" width="17.69921875" bestFit="1" customWidth="1"/>
    <col min="4" max="5" width="24.296875" bestFit="1" customWidth="1"/>
    <col min="6" max="6" width="12.69921875" bestFit="1" customWidth="1"/>
    <col min="7" max="9" width="12.69921875" customWidth="1"/>
    <col min="10" max="12" width="15.796875" bestFit="1" customWidth="1"/>
    <col min="13" max="13" width="18" bestFit="1" customWidth="1"/>
    <col min="14" max="14" width="24" bestFit="1" customWidth="1"/>
    <col min="15" max="15" width="29.796875" bestFit="1" customWidth="1"/>
    <col min="16" max="16" width="31.69921875" bestFit="1" customWidth="1"/>
    <col min="17" max="17" width="37.3984375" bestFit="1" customWidth="1"/>
    <col min="18" max="18" width="10" bestFit="1" customWidth="1"/>
    <col min="19" max="19" width="9" bestFit="1" customWidth="1"/>
    <col min="21" max="21" width="10.5" customWidth="1"/>
    <col min="22" max="22" width="73.8984375" customWidth="1"/>
    <col min="23" max="23" width="87" customWidth="1"/>
    <col min="24" max="24" width="49.09765625" customWidth="1"/>
    <col min="25" max="25" width="75" customWidth="1"/>
  </cols>
  <sheetData>
    <row r="1" spans="1:25" x14ac:dyDescent="0.3">
      <c r="A1" t="s">
        <v>129</v>
      </c>
      <c r="B1" t="s">
        <v>120</v>
      </c>
      <c r="C1" t="s">
        <v>170</v>
      </c>
      <c r="D1" t="s">
        <v>171</v>
      </c>
      <c r="E1" t="s">
        <v>352</v>
      </c>
      <c r="F1" t="s">
        <v>136</v>
      </c>
      <c r="G1" t="s">
        <v>317</v>
      </c>
      <c r="H1" t="s">
        <v>318</v>
      </c>
      <c r="I1" t="s">
        <v>157</v>
      </c>
      <c r="J1" t="s">
        <v>236</v>
      </c>
      <c r="K1" t="s">
        <v>235</v>
      </c>
      <c r="L1" t="s">
        <v>237</v>
      </c>
      <c r="M1" t="s">
        <v>122</v>
      </c>
      <c r="N1" t="s">
        <v>158</v>
      </c>
      <c r="O1" t="s">
        <v>238</v>
      </c>
      <c r="P1" t="s">
        <v>239</v>
      </c>
      <c r="Q1" t="s">
        <v>240</v>
      </c>
      <c r="R1" t="s">
        <v>124</v>
      </c>
      <c r="S1" t="s">
        <v>125</v>
      </c>
      <c r="T1" t="s">
        <v>126</v>
      </c>
      <c r="U1" t="s">
        <v>127</v>
      </c>
      <c r="V1" t="s">
        <v>159</v>
      </c>
      <c r="W1" t="s">
        <v>241</v>
      </c>
      <c r="X1" t="s">
        <v>242</v>
      </c>
      <c r="Y1" t="s">
        <v>243</v>
      </c>
    </row>
    <row r="2" spans="1:25" x14ac:dyDescent="0.3">
      <c r="A2" t="s">
        <v>130</v>
      </c>
      <c r="B2">
        <v>940</v>
      </c>
      <c r="C2" t="s">
        <v>139</v>
      </c>
      <c r="D2" t="s">
        <v>312</v>
      </c>
      <c r="E2" t="s">
        <v>353</v>
      </c>
      <c r="F2" t="s">
        <v>93</v>
      </c>
      <c r="G2" s="12">
        <v>38692</v>
      </c>
      <c r="H2" t="s">
        <v>319</v>
      </c>
      <c r="I2" t="s">
        <v>94</v>
      </c>
      <c r="J2" t="s">
        <v>163</v>
      </c>
      <c r="K2" t="s">
        <v>208</v>
      </c>
      <c r="L2" t="s">
        <v>214</v>
      </c>
      <c r="M2" t="s">
        <v>95</v>
      </c>
      <c r="N2" t="s">
        <v>96</v>
      </c>
      <c r="O2" t="s">
        <v>96</v>
      </c>
      <c r="P2" t="s">
        <v>211</v>
      </c>
      <c r="Q2" t="s">
        <v>218</v>
      </c>
      <c r="R2" s="6">
        <v>42.497132999999998</v>
      </c>
      <c r="S2" s="6">
        <v>1.500985</v>
      </c>
      <c r="T2" t="s">
        <v>97</v>
      </c>
      <c r="U2" t="s">
        <v>98</v>
      </c>
      <c r="V2" t="s">
        <v>99</v>
      </c>
      <c r="W2" t="s">
        <v>167</v>
      </c>
      <c r="X2" t="s">
        <v>252</v>
      </c>
      <c r="Y2" t="s">
        <v>221</v>
      </c>
    </row>
    <row r="3" spans="1:25" x14ac:dyDescent="0.3">
      <c r="A3" t="s">
        <v>131</v>
      </c>
      <c r="B3">
        <v>943</v>
      </c>
      <c r="C3" t="s">
        <v>100</v>
      </c>
      <c r="D3" t="s">
        <v>351</v>
      </c>
      <c r="E3" t="s">
        <v>354</v>
      </c>
      <c r="F3" t="s">
        <v>100</v>
      </c>
      <c r="G3" s="12">
        <v>38487</v>
      </c>
      <c r="H3" t="s">
        <v>319</v>
      </c>
      <c r="I3" t="s">
        <v>101</v>
      </c>
      <c r="J3" t="s">
        <v>165</v>
      </c>
      <c r="K3" t="s">
        <v>209</v>
      </c>
      <c r="L3" t="s">
        <v>215</v>
      </c>
      <c r="M3" t="s">
        <v>95</v>
      </c>
      <c r="N3" t="s">
        <v>102</v>
      </c>
      <c r="O3" t="s">
        <v>161</v>
      </c>
      <c r="P3" t="s">
        <v>161</v>
      </c>
      <c r="Q3" t="s">
        <v>161</v>
      </c>
      <c r="R3" s="6">
        <v>42.504921000000003</v>
      </c>
      <c r="S3" s="6">
        <v>1.5221279999999999</v>
      </c>
      <c r="T3" t="s">
        <v>103</v>
      </c>
      <c r="U3" t="s">
        <v>98</v>
      </c>
      <c r="V3" t="s">
        <v>104</v>
      </c>
      <c r="W3" t="s">
        <v>168</v>
      </c>
      <c r="X3" t="s">
        <v>253</v>
      </c>
      <c r="Y3" t="s">
        <v>222</v>
      </c>
    </row>
    <row r="4" spans="1:25" x14ac:dyDescent="0.3">
      <c r="A4" t="s">
        <v>132</v>
      </c>
      <c r="B4">
        <v>942</v>
      </c>
      <c r="C4" t="s">
        <v>137</v>
      </c>
      <c r="D4" t="s">
        <v>137</v>
      </c>
      <c r="E4" t="s">
        <v>137</v>
      </c>
      <c r="F4" t="s">
        <v>105</v>
      </c>
      <c r="G4" s="12">
        <v>38353</v>
      </c>
      <c r="H4" t="s">
        <v>319</v>
      </c>
      <c r="I4" t="s">
        <v>94</v>
      </c>
      <c r="J4" t="s">
        <v>163</v>
      </c>
      <c r="K4" t="s">
        <v>208</v>
      </c>
      <c r="L4" t="s">
        <v>214</v>
      </c>
      <c r="M4" t="s">
        <v>106</v>
      </c>
      <c r="N4" t="s">
        <v>107</v>
      </c>
      <c r="O4" t="s">
        <v>107</v>
      </c>
      <c r="P4" t="s">
        <v>212</v>
      </c>
      <c r="Q4" t="s">
        <v>219</v>
      </c>
      <c r="R4" s="6">
        <v>42.509694000000003</v>
      </c>
      <c r="S4" s="6">
        <v>1.5391379999999999</v>
      </c>
      <c r="T4" t="s">
        <v>108</v>
      </c>
      <c r="U4" t="s">
        <v>109</v>
      </c>
    </row>
    <row r="5" spans="1:25" x14ac:dyDescent="0.3">
      <c r="A5" t="s">
        <v>133</v>
      </c>
      <c r="B5">
        <v>944</v>
      </c>
      <c r="C5" t="s">
        <v>138</v>
      </c>
      <c r="D5" t="s">
        <v>138</v>
      </c>
      <c r="E5" t="s">
        <v>138</v>
      </c>
      <c r="F5" t="s">
        <v>110</v>
      </c>
      <c r="G5" s="12">
        <v>39045</v>
      </c>
      <c r="H5" t="s">
        <v>319</v>
      </c>
      <c r="I5" t="s">
        <v>111</v>
      </c>
      <c r="J5" t="s">
        <v>111</v>
      </c>
      <c r="K5" t="s">
        <v>111</v>
      </c>
      <c r="L5" t="s">
        <v>216</v>
      </c>
      <c r="M5" t="s">
        <v>106</v>
      </c>
      <c r="N5" t="s">
        <v>112</v>
      </c>
      <c r="O5" t="s">
        <v>112</v>
      </c>
      <c r="P5" t="s">
        <v>112</v>
      </c>
      <c r="Q5" t="s">
        <v>112</v>
      </c>
      <c r="R5" s="6">
        <v>42.516944000000002</v>
      </c>
      <c r="S5" s="6">
        <v>1.56525</v>
      </c>
      <c r="T5" t="s">
        <v>113</v>
      </c>
      <c r="U5" t="s">
        <v>109</v>
      </c>
    </row>
    <row r="6" spans="1:25" x14ac:dyDescent="0.3">
      <c r="A6" t="s">
        <v>134</v>
      </c>
      <c r="B6">
        <v>941</v>
      </c>
      <c r="C6" t="s">
        <v>114</v>
      </c>
      <c r="D6" t="s">
        <v>162</v>
      </c>
      <c r="E6" t="s">
        <v>355</v>
      </c>
      <c r="F6" t="s">
        <v>114</v>
      </c>
      <c r="G6" s="12">
        <v>38837</v>
      </c>
      <c r="H6" s="12">
        <v>43068</v>
      </c>
      <c r="I6" t="s">
        <v>115</v>
      </c>
      <c r="J6" t="s">
        <v>164</v>
      </c>
      <c r="K6" t="s">
        <v>210</v>
      </c>
      <c r="L6" t="s">
        <v>217</v>
      </c>
      <c r="M6" t="s">
        <v>116</v>
      </c>
      <c r="N6" t="s">
        <v>117</v>
      </c>
      <c r="O6" t="s">
        <v>166</v>
      </c>
      <c r="P6" t="s">
        <v>166</v>
      </c>
      <c r="Q6" t="s">
        <v>166</v>
      </c>
      <c r="R6" s="6"/>
      <c r="S6" s="6"/>
      <c r="T6" t="s">
        <v>118</v>
      </c>
      <c r="U6" s="5" t="s">
        <v>98</v>
      </c>
      <c r="V6" t="s">
        <v>119</v>
      </c>
      <c r="W6" t="s">
        <v>169</v>
      </c>
      <c r="X6" t="s">
        <v>254</v>
      </c>
      <c r="Y6" t="s">
        <v>223</v>
      </c>
    </row>
    <row r="7" spans="1:25" x14ac:dyDescent="0.3">
      <c r="A7" t="s">
        <v>135</v>
      </c>
      <c r="B7">
        <v>945</v>
      </c>
      <c r="C7" t="s">
        <v>202</v>
      </c>
      <c r="D7" t="s">
        <v>199</v>
      </c>
      <c r="E7" t="s">
        <v>356</v>
      </c>
      <c r="F7" t="s">
        <v>141</v>
      </c>
      <c r="G7" s="12">
        <v>40003</v>
      </c>
      <c r="H7" t="s">
        <v>319</v>
      </c>
      <c r="I7" t="s">
        <v>111</v>
      </c>
      <c r="J7" t="s">
        <v>111</v>
      </c>
      <c r="K7" t="s">
        <v>111</v>
      </c>
      <c r="L7" t="s">
        <v>216</v>
      </c>
      <c r="M7" t="s">
        <v>142</v>
      </c>
      <c r="N7" t="s">
        <v>201</v>
      </c>
      <c r="O7" t="s">
        <v>200</v>
      </c>
      <c r="P7" t="s">
        <v>213</v>
      </c>
      <c r="Q7" t="s">
        <v>220</v>
      </c>
      <c r="R7" s="6">
        <v>42.534883000000001</v>
      </c>
      <c r="S7" s="6">
        <v>1.7169859999999999</v>
      </c>
      <c r="T7" s="5">
        <v>2515</v>
      </c>
      <c r="U7" t="s">
        <v>109</v>
      </c>
    </row>
    <row r="15" spans="1:25" x14ac:dyDescent="0.3">
      <c r="G15" s="12"/>
    </row>
    <row r="16" spans="1:25" x14ac:dyDescent="0.3">
      <c r="G16" s="12"/>
      <c r="H16" s="12"/>
    </row>
    <row r="17" spans="7:7" x14ac:dyDescent="0.3">
      <c r="G17" s="12"/>
    </row>
    <row r="18" spans="7:7" x14ac:dyDescent="0.3">
      <c r="G18" s="12"/>
    </row>
    <row r="19" spans="7:7" x14ac:dyDescent="0.3">
      <c r="G19" s="12"/>
    </row>
    <row r="20" spans="7:7" x14ac:dyDescent="0.3">
      <c r="G20" s="12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6C58ED-4C70-4904-BF1A-C2DB1F4D11F0}">
  <dimension ref="A1:F8"/>
  <sheetViews>
    <sheetView workbookViewId="0">
      <selection activeCell="C9" sqref="C9"/>
    </sheetView>
  </sheetViews>
  <sheetFormatPr baseColWidth="10" defaultRowHeight="15.6" x14ac:dyDescent="0.3"/>
  <cols>
    <col min="2" max="3" width="18.8984375" bestFit="1" customWidth="1"/>
    <col min="4" max="4" width="16.5" bestFit="1" customWidth="1"/>
    <col min="5" max="5" width="28.8984375" bestFit="1" customWidth="1"/>
  </cols>
  <sheetData>
    <row r="1" spans="1:6" x14ac:dyDescent="0.3">
      <c r="A1" t="s">
        <v>189</v>
      </c>
      <c r="B1" t="s">
        <v>192</v>
      </c>
      <c r="C1" t="s">
        <v>244</v>
      </c>
      <c r="D1" t="s">
        <v>245</v>
      </c>
      <c r="E1" t="s">
        <v>246</v>
      </c>
      <c r="F1" t="s">
        <v>191</v>
      </c>
    </row>
    <row r="2" spans="1:6" x14ac:dyDescent="0.3">
      <c r="A2">
        <v>1</v>
      </c>
      <c r="B2" t="s">
        <v>193</v>
      </c>
      <c r="C2" t="s">
        <v>198</v>
      </c>
      <c r="D2" t="s">
        <v>203</v>
      </c>
      <c r="E2" t="s">
        <v>203</v>
      </c>
      <c r="F2" t="s">
        <v>251</v>
      </c>
    </row>
    <row r="3" spans="1:6" x14ac:dyDescent="0.3">
      <c r="A3">
        <v>2</v>
      </c>
      <c r="B3" t="s">
        <v>194</v>
      </c>
      <c r="C3" t="s">
        <v>194</v>
      </c>
      <c r="D3" t="s">
        <v>204</v>
      </c>
      <c r="E3" t="s">
        <v>298</v>
      </c>
      <c r="F3" t="s">
        <v>247</v>
      </c>
    </row>
    <row r="4" spans="1:6" x14ac:dyDescent="0.3">
      <c r="A4">
        <v>3</v>
      </c>
      <c r="B4" t="s">
        <v>195</v>
      </c>
      <c r="C4" t="s">
        <v>195</v>
      </c>
      <c r="D4" t="s">
        <v>205</v>
      </c>
      <c r="E4" t="s">
        <v>296</v>
      </c>
      <c r="F4" t="s">
        <v>248</v>
      </c>
    </row>
    <row r="5" spans="1:6" x14ac:dyDescent="0.3">
      <c r="A5">
        <v>4</v>
      </c>
      <c r="B5" t="s">
        <v>196</v>
      </c>
      <c r="C5" t="s">
        <v>196</v>
      </c>
      <c r="D5" t="s">
        <v>207</v>
      </c>
      <c r="E5" t="s">
        <v>297</v>
      </c>
      <c r="F5" t="s">
        <v>249</v>
      </c>
    </row>
    <row r="6" spans="1:6" x14ac:dyDescent="0.3">
      <c r="A6">
        <v>5</v>
      </c>
      <c r="B6" t="s">
        <v>197</v>
      </c>
      <c r="C6" t="s">
        <v>197</v>
      </c>
      <c r="D6" t="s">
        <v>206</v>
      </c>
      <c r="E6" t="s">
        <v>299</v>
      </c>
      <c r="F6" t="s">
        <v>250</v>
      </c>
    </row>
    <row r="7" spans="1:6" x14ac:dyDescent="0.3">
      <c r="A7">
        <v>6</v>
      </c>
      <c r="B7" t="s">
        <v>313</v>
      </c>
      <c r="C7" t="s">
        <v>313</v>
      </c>
      <c r="D7" t="s">
        <v>314</v>
      </c>
      <c r="E7" t="s">
        <v>315</v>
      </c>
      <c r="F7" t="s">
        <v>316</v>
      </c>
    </row>
    <row r="8" spans="1:6" x14ac:dyDescent="0.3">
      <c r="A8">
        <v>0</v>
      </c>
      <c r="B8" t="s">
        <v>322</v>
      </c>
      <c r="C8" t="s">
        <v>322</v>
      </c>
      <c r="D8" t="s">
        <v>323</v>
      </c>
      <c r="E8" t="s">
        <v>324</v>
      </c>
      <c r="F8" t="s">
        <v>321</v>
      </c>
    </row>
  </sheetData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5260E4-E186-4C62-869C-E558825ACE30}">
  <dimension ref="A1:G7"/>
  <sheetViews>
    <sheetView workbookViewId="0">
      <selection activeCell="A8" sqref="A8"/>
    </sheetView>
  </sheetViews>
  <sheetFormatPr baseColWidth="10" defaultRowHeight="15.6" x14ac:dyDescent="0.3"/>
  <cols>
    <col min="1" max="1" width="12.19921875" bestFit="1" customWidth="1"/>
  </cols>
  <sheetData>
    <row r="1" spans="1:7" x14ac:dyDescent="0.3">
      <c r="A1" t="s">
        <v>331</v>
      </c>
      <c r="B1" t="s">
        <v>21</v>
      </c>
      <c r="C1" t="s">
        <v>28</v>
      </c>
      <c r="D1" t="s">
        <v>26</v>
      </c>
      <c r="E1" t="s">
        <v>17</v>
      </c>
      <c r="F1" t="s">
        <v>30</v>
      </c>
      <c r="G1" t="s">
        <v>32</v>
      </c>
    </row>
    <row r="2" spans="1:7" x14ac:dyDescent="0.3">
      <c r="A2" t="s">
        <v>325</v>
      </c>
      <c r="B2">
        <v>0</v>
      </c>
      <c r="C2">
        <v>1</v>
      </c>
      <c r="D2">
        <v>1</v>
      </c>
      <c r="E2">
        <v>1</v>
      </c>
      <c r="F2">
        <v>0</v>
      </c>
      <c r="G2">
        <v>1</v>
      </c>
    </row>
    <row r="3" spans="1:7" x14ac:dyDescent="0.3">
      <c r="A3" t="s">
        <v>329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 x14ac:dyDescent="0.3">
      <c r="A4" t="s">
        <v>327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</row>
    <row r="5" spans="1:7" x14ac:dyDescent="0.3">
      <c r="A5" t="s">
        <v>326</v>
      </c>
      <c r="B5">
        <v>0</v>
      </c>
      <c r="C5">
        <v>1</v>
      </c>
      <c r="D5">
        <v>0</v>
      </c>
      <c r="E5">
        <v>0</v>
      </c>
      <c r="F5">
        <v>0</v>
      </c>
      <c r="G5">
        <v>0</v>
      </c>
    </row>
    <row r="6" spans="1:7" x14ac:dyDescent="0.3">
      <c r="A6" t="s">
        <v>328</v>
      </c>
      <c r="B6">
        <v>1</v>
      </c>
      <c r="C6">
        <v>0</v>
      </c>
      <c r="D6">
        <v>0</v>
      </c>
      <c r="E6">
        <v>0</v>
      </c>
      <c r="F6">
        <v>0</v>
      </c>
      <c r="G6">
        <v>0</v>
      </c>
    </row>
    <row r="7" spans="1:7" x14ac:dyDescent="0.3">
      <c r="A7" t="s">
        <v>330</v>
      </c>
      <c r="B7">
        <v>1</v>
      </c>
      <c r="C7">
        <v>0</v>
      </c>
      <c r="D7">
        <v>0</v>
      </c>
      <c r="E7">
        <v>0</v>
      </c>
      <c r="F7">
        <v>0</v>
      </c>
      <c r="G7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4F6036-7068-4126-AC15-3D497817BA23}">
  <dimension ref="A1:A10"/>
  <sheetViews>
    <sheetView workbookViewId="0">
      <selection activeCell="B6" sqref="B6"/>
    </sheetView>
  </sheetViews>
  <sheetFormatPr baseColWidth="10" defaultRowHeight="15.6" x14ac:dyDescent="0.3"/>
  <sheetData>
    <row r="1" spans="1:1" x14ac:dyDescent="0.3">
      <c r="A1" t="s">
        <v>339</v>
      </c>
    </row>
    <row r="2" spans="1:1" x14ac:dyDescent="0.3">
      <c r="A2" t="s">
        <v>358</v>
      </c>
    </row>
    <row r="3" spans="1:1" x14ac:dyDescent="0.3">
      <c r="A3" t="s">
        <v>364</v>
      </c>
    </row>
    <row r="4" spans="1:1" x14ac:dyDescent="0.3">
      <c r="A4" t="s">
        <v>359</v>
      </c>
    </row>
    <row r="5" spans="1:1" x14ac:dyDescent="0.3">
      <c r="A5" t="s">
        <v>367</v>
      </c>
    </row>
    <row r="6" spans="1:1" x14ac:dyDescent="0.3">
      <c r="A6" t="s">
        <v>361</v>
      </c>
    </row>
    <row r="7" spans="1:1" x14ac:dyDescent="0.3">
      <c r="A7" t="s">
        <v>362</v>
      </c>
    </row>
    <row r="8" spans="1:1" x14ac:dyDescent="0.3">
      <c r="A8" t="s">
        <v>360</v>
      </c>
    </row>
    <row r="9" spans="1:1" x14ac:dyDescent="0.3">
      <c r="A9" t="s">
        <v>365</v>
      </c>
    </row>
    <row r="10" spans="1:1" x14ac:dyDescent="0.3">
      <c r="A10" t="s">
        <v>366</v>
      </c>
    </row>
  </sheetData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314374-95DB-4FE2-8CD5-4A93B5010B7D}">
  <dimension ref="A1:C11"/>
  <sheetViews>
    <sheetView workbookViewId="0">
      <selection activeCell="C6" sqref="C6"/>
    </sheetView>
  </sheetViews>
  <sheetFormatPr baseColWidth="10" defaultRowHeight="15.6" x14ac:dyDescent="0.3"/>
  <cols>
    <col min="3" max="3" width="13.09765625" bestFit="1" customWidth="1"/>
  </cols>
  <sheetData>
    <row r="1" spans="1:3" x14ac:dyDescent="0.3">
      <c r="A1" t="s">
        <v>363</v>
      </c>
      <c r="C1" t="s">
        <v>357</v>
      </c>
    </row>
    <row r="2" spans="1:3" x14ac:dyDescent="0.3">
      <c r="A2" t="s">
        <v>339</v>
      </c>
      <c r="B2" t="s">
        <v>343</v>
      </c>
      <c r="C2" t="s">
        <v>339</v>
      </c>
    </row>
    <row r="3" spans="1:3" x14ac:dyDescent="0.3">
      <c r="A3" t="s">
        <v>332</v>
      </c>
      <c r="B3" t="s">
        <v>344</v>
      </c>
      <c r="C3" t="s">
        <v>358</v>
      </c>
    </row>
    <row r="4" spans="1:3" x14ac:dyDescent="0.3">
      <c r="A4" t="s">
        <v>333</v>
      </c>
      <c r="B4" t="s">
        <v>345</v>
      </c>
      <c r="C4" t="s">
        <v>364</v>
      </c>
    </row>
    <row r="5" spans="1:3" x14ac:dyDescent="0.3">
      <c r="A5" t="s">
        <v>334</v>
      </c>
      <c r="B5" t="s">
        <v>346</v>
      </c>
      <c r="C5" t="s">
        <v>359</v>
      </c>
    </row>
    <row r="6" spans="1:3" x14ac:dyDescent="0.3">
      <c r="A6" t="s">
        <v>335</v>
      </c>
      <c r="B6" t="s">
        <v>347</v>
      </c>
      <c r="C6" t="s">
        <v>367</v>
      </c>
    </row>
    <row r="7" spans="1:3" x14ac:dyDescent="0.3">
      <c r="A7" t="s">
        <v>336</v>
      </c>
      <c r="B7" t="s">
        <v>348</v>
      </c>
      <c r="C7" t="s">
        <v>361</v>
      </c>
    </row>
    <row r="8" spans="1:3" x14ac:dyDescent="0.3">
      <c r="A8" t="s">
        <v>337</v>
      </c>
      <c r="B8" t="s">
        <v>349</v>
      </c>
      <c r="C8" t="s">
        <v>362</v>
      </c>
    </row>
    <row r="9" spans="1:3" x14ac:dyDescent="0.3">
      <c r="A9" t="s">
        <v>338</v>
      </c>
      <c r="B9" t="s">
        <v>350</v>
      </c>
      <c r="C9" t="s">
        <v>360</v>
      </c>
    </row>
    <row r="10" spans="1:3" x14ac:dyDescent="0.3">
      <c r="C10" t="s">
        <v>365</v>
      </c>
    </row>
    <row r="11" spans="1:3" x14ac:dyDescent="0.3">
      <c r="C11" t="s">
        <v>366</v>
      </c>
    </row>
  </sheetData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3E9D0B-7AC8-4742-9951-C789F1FECF29}">
  <dimension ref="A1:D27"/>
  <sheetViews>
    <sheetView workbookViewId="0">
      <selection activeCell="E8" sqref="E8"/>
    </sheetView>
  </sheetViews>
  <sheetFormatPr baseColWidth="10" defaultRowHeight="15.6" x14ac:dyDescent="0.3"/>
  <cols>
    <col min="1" max="1" width="18.5" bestFit="1" customWidth="1"/>
    <col min="2" max="2" width="13.69921875" bestFit="1" customWidth="1"/>
    <col min="3" max="3" width="20.19921875" bestFit="1" customWidth="1"/>
  </cols>
  <sheetData>
    <row r="1" spans="1:4" x14ac:dyDescent="0.3">
      <c r="A1" t="s">
        <v>427</v>
      </c>
      <c r="B1" t="s">
        <v>368</v>
      </c>
      <c r="C1" t="s">
        <v>426</v>
      </c>
      <c r="D1" t="s">
        <v>157</v>
      </c>
    </row>
    <row r="2" spans="1:4" x14ac:dyDescent="0.3">
      <c r="A2" t="s">
        <v>369</v>
      </c>
      <c r="B2" t="s">
        <v>370</v>
      </c>
      <c r="C2" t="s">
        <v>370</v>
      </c>
      <c r="D2" t="s">
        <v>371</v>
      </c>
    </row>
    <row r="3" spans="1:4" x14ac:dyDescent="0.3">
      <c r="A3" t="s">
        <v>372</v>
      </c>
      <c r="B3" t="s">
        <v>373</v>
      </c>
      <c r="C3" t="s">
        <v>373</v>
      </c>
      <c r="D3" t="s">
        <v>371</v>
      </c>
    </row>
    <row r="4" spans="1:4" x14ac:dyDescent="0.3">
      <c r="A4" t="s">
        <v>374</v>
      </c>
      <c r="B4" t="s">
        <v>375</v>
      </c>
      <c r="C4" t="s">
        <v>375</v>
      </c>
      <c r="D4" t="s">
        <v>371</v>
      </c>
    </row>
    <row r="5" spans="1:4" x14ac:dyDescent="0.3">
      <c r="A5" t="s">
        <v>376</v>
      </c>
      <c r="B5" t="s">
        <v>377</v>
      </c>
      <c r="C5" t="s">
        <v>378</v>
      </c>
      <c r="D5" t="s">
        <v>371</v>
      </c>
    </row>
    <row r="6" spans="1:4" x14ac:dyDescent="0.3">
      <c r="A6" t="s">
        <v>379</v>
      </c>
      <c r="B6" t="s">
        <v>380</v>
      </c>
      <c r="C6" t="s">
        <v>380</v>
      </c>
      <c r="D6" t="s">
        <v>371</v>
      </c>
    </row>
    <row r="7" spans="1:4" x14ac:dyDescent="0.3">
      <c r="A7" t="s">
        <v>381</v>
      </c>
      <c r="B7" t="s">
        <v>382</v>
      </c>
      <c r="C7" t="s">
        <v>382</v>
      </c>
      <c r="D7" t="s">
        <v>371</v>
      </c>
    </row>
    <row r="8" spans="1:4" x14ac:dyDescent="0.3">
      <c r="A8" t="s">
        <v>383</v>
      </c>
      <c r="B8" t="s">
        <v>384</v>
      </c>
      <c r="C8" t="s">
        <v>384</v>
      </c>
      <c r="D8" t="s">
        <v>371</v>
      </c>
    </row>
    <row r="9" spans="1:4" x14ac:dyDescent="0.3">
      <c r="A9" t="s">
        <v>385</v>
      </c>
      <c r="B9" t="s">
        <v>386</v>
      </c>
      <c r="C9" t="s">
        <v>386</v>
      </c>
      <c r="D9" t="s">
        <v>371</v>
      </c>
    </row>
    <row r="10" spans="1:4" x14ac:dyDescent="0.3">
      <c r="A10" t="s">
        <v>387</v>
      </c>
      <c r="B10" t="s">
        <v>388</v>
      </c>
      <c r="C10" t="s">
        <v>388</v>
      </c>
      <c r="D10" t="s">
        <v>371</v>
      </c>
    </row>
    <row r="11" spans="1:4" x14ac:dyDescent="0.3">
      <c r="A11" t="s">
        <v>389</v>
      </c>
      <c r="B11" t="s">
        <v>390</v>
      </c>
      <c r="C11" t="s">
        <v>390</v>
      </c>
      <c r="D11" t="s">
        <v>371</v>
      </c>
    </row>
    <row r="12" spans="1:4" x14ac:dyDescent="0.3">
      <c r="A12" t="s">
        <v>391</v>
      </c>
      <c r="B12" t="s">
        <v>392</v>
      </c>
      <c r="C12" t="s">
        <v>393</v>
      </c>
      <c r="D12" t="s">
        <v>371</v>
      </c>
    </row>
    <row r="13" spans="1:4" x14ac:dyDescent="0.3">
      <c r="A13" t="s">
        <v>394</v>
      </c>
      <c r="B13" t="s">
        <v>395</v>
      </c>
      <c r="C13" t="s">
        <v>395</v>
      </c>
      <c r="D13" t="s">
        <v>371</v>
      </c>
    </row>
    <row r="14" spans="1:4" x14ac:dyDescent="0.3">
      <c r="A14" t="s">
        <v>396</v>
      </c>
      <c r="B14" t="s">
        <v>397</v>
      </c>
      <c r="C14" t="s">
        <v>397</v>
      </c>
      <c r="D14" t="s">
        <v>371</v>
      </c>
    </row>
    <row r="15" spans="1:4" x14ac:dyDescent="0.3">
      <c r="A15" t="s">
        <v>398</v>
      </c>
      <c r="B15" t="s">
        <v>399</v>
      </c>
      <c r="C15" t="s">
        <v>399</v>
      </c>
      <c r="D15" t="s">
        <v>371</v>
      </c>
    </row>
    <row r="16" spans="1:4" x14ac:dyDescent="0.3">
      <c r="A16" t="s">
        <v>400</v>
      </c>
      <c r="B16" t="s">
        <v>401</v>
      </c>
      <c r="C16" t="s">
        <v>401</v>
      </c>
      <c r="D16" t="s">
        <v>371</v>
      </c>
    </row>
    <row r="17" spans="1:4" x14ac:dyDescent="0.3">
      <c r="A17" t="s">
        <v>402</v>
      </c>
      <c r="B17" t="s">
        <v>403</v>
      </c>
      <c r="C17" t="s">
        <v>403</v>
      </c>
      <c r="D17" t="s">
        <v>371</v>
      </c>
    </row>
    <row r="18" spans="1:4" x14ac:dyDescent="0.3">
      <c r="A18" t="s">
        <v>404</v>
      </c>
      <c r="B18" t="s">
        <v>405</v>
      </c>
      <c r="C18" t="s">
        <v>406</v>
      </c>
      <c r="D18" t="s">
        <v>371</v>
      </c>
    </row>
    <row r="19" spans="1:4" x14ac:dyDescent="0.3">
      <c r="A19" t="s">
        <v>407</v>
      </c>
      <c r="B19" t="s">
        <v>408</v>
      </c>
      <c r="C19" t="s">
        <v>408</v>
      </c>
      <c r="D19" t="s">
        <v>371</v>
      </c>
    </row>
    <row r="20" spans="1:4" x14ac:dyDescent="0.3">
      <c r="A20" t="s">
        <v>409</v>
      </c>
      <c r="B20" t="s">
        <v>410</v>
      </c>
      <c r="C20" t="s">
        <v>411</v>
      </c>
      <c r="D20" t="s">
        <v>371</v>
      </c>
    </row>
    <row r="21" spans="1:4" x14ac:dyDescent="0.3">
      <c r="A21" t="s">
        <v>412</v>
      </c>
      <c r="B21" t="s">
        <v>413</v>
      </c>
      <c r="C21" t="s">
        <v>413</v>
      </c>
      <c r="D21" t="s">
        <v>371</v>
      </c>
    </row>
    <row r="22" spans="1:4" x14ac:dyDescent="0.3">
      <c r="A22" t="s">
        <v>414</v>
      </c>
      <c r="B22" t="s">
        <v>414</v>
      </c>
      <c r="C22" t="s">
        <v>414</v>
      </c>
      <c r="D22" t="s">
        <v>371</v>
      </c>
    </row>
    <row r="23" spans="1:4" x14ac:dyDescent="0.3">
      <c r="A23" t="s">
        <v>415</v>
      </c>
      <c r="B23" t="s">
        <v>416</v>
      </c>
      <c r="C23" t="s">
        <v>416</v>
      </c>
      <c r="D23" t="s">
        <v>371</v>
      </c>
    </row>
    <row r="24" spans="1:4" x14ac:dyDescent="0.3">
      <c r="A24" t="s">
        <v>417</v>
      </c>
      <c r="B24" t="s">
        <v>418</v>
      </c>
      <c r="C24" t="s">
        <v>419</v>
      </c>
      <c r="D24" t="s">
        <v>371</v>
      </c>
    </row>
    <row r="25" spans="1:4" x14ac:dyDescent="0.3">
      <c r="A25" t="s">
        <v>420</v>
      </c>
      <c r="B25" t="s">
        <v>420</v>
      </c>
      <c r="C25" t="s">
        <v>420</v>
      </c>
      <c r="D25" t="s">
        <v>371</v>
      </c>
    </row>
    <row r="26" spans="1:4" x14ac:dyDescent="0.3">
      <c r="A26" t="s">
        <v>421</v>
      </c>
      <c r="B26" t="s">
        <v>422</v>
      </c>
      <c r="C26" t="s">
        <v>423</v>
      </c>
      <c r="D26" t="s">
        <v>424</v>
      </c>
    </row>
    <row r="27" spans="1:4" x14ac:dyDescent="0.3">
      <c r="A27" t="s">
        <v>425</v>
      </c>
      <c r="B27" t="s">
        <v>425</v>
      </c>
      <c r="C27" t="s">
        <v>425</v>
      </c>
      <c r="D27" t="s">
        <v>424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13</vt:i4>
      </vt:variant>
    </vt:vector>
  </HeadingPairs>
  <TitlesOfParts>
    <vt:vector size="13" baseType="lpstr">
      <vt:lpstr>Andorra</vt:lpstr>
      <vt:lpstr>web_RavenMapping</vt:lpstr>
      <vt:lpstr>web_stations</vt:lpstr>
      <vt:lpstr>web_index_colors</vt:lpstr>
      <vt:lpstr>web_RavenMapping_lang</vt:lpstr>
      <vt:lpstr>web_inversion</vt:lpstr>
      <vt:lpstr>web_episodes</vt:lpstr>
      <vt:lpstr>web_stations_lang</vt:lpstr>
      <vt:lpstr>web_index_colors_lang</vt:lpstr>
      <vt:lpstr>pollutants_stations</vt:lpstr>
      <vt:lpstr>web_colors</vt:lpstr>
      <vt:lpstr>web_colors (2)</vt:lpstr>
      <vt:lpstr>web_pollen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Jaume Targa</dc:creator>
  <cp:lastModifiedBy>Cristina</cp:lastModifiedBy>
  <dcterms:created xsi:type="dcterms:W3CDTF">2021-12-21T10:07:04Z</dcterms:created>
  <dcterms:modified xsi:type="dcterms:W3CDTF">2022-03-15T11:29:32Z</dcterms:modified>
</cp:coreProperties>
</file>